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TS_WILP\4th SEM\Project\Base Data\"/>
    </mc:Choice>
  </mc:AlternateContent>
  <xr:revisionPtr revIDLastSave="0" documentId="13_ncr:1_{BD095883-8024-4F44-9207-A263DE726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Analysis" sheetId="1" r:id="rId1"/>
    <sheet name="Retest" sheetId="2" r:id="rId2"/>
    <sheet name="Replicate" sheetId="3" r:id="rId3"/>
    <sheet name="Retain" sheetId="4" r:id="rId4"/>
    <sheet name="Blending Fines" sheetId="5" r:id="rId5"/>
    <sheet name="Blending CLO" sheetId="7" r:id="rId6"/>
    <sheet name="Sheet4" sheetId="8" r:id="rId7"/>
    <sheet name="Sheet1" sheetId="10" r:id="rId8"/>
    <sheet name="Sheet5" sheetId="9" r:id="rId9"/>
  </sheets>
  <definedNames>
    <definedName name="_xlnm._FilterDatabase" localSheetId="5" hidden="1">'Blending CLO'!$E$6:$L$29</definedName>
    <definedName name="_xlnm._FilterDatabase" localSheetId="4" hidden="1">'Blending Fines'!$A$5:$U$53</definedName>
    <definedName name="_xlnm._FilterDatabase" localSheetId="0" hidden="1">'Sample Analysis'!$A$6:$AH$74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5" l="1"/>
  <c r="K6" i="10"/>
  <c r="J6" i="10"/>
  <c r="H7" i="10"/>
  <c r="I7" i="10"/>
  <c r="D24" i="9" l="1"/>
  <c r="F24" i="9" s="1"/>
  <c r="F25" i="8"/>
  <c r="G25" i="8"/>
  <c r="H25" i="8"/>
  <c r="I25" i="8"/>
  <c r="J25" i="8"/>
  <c r="K25" i="8"/>
  <c r="L25" i="8"/>
  <c r="E25" i="8"/>
  <c r="D25" i="8"/>
  <c r="F12" i="7"/>
  <c r="G12" i="7"/>
  <c r="H12" i="7"/>
  <c r="I12" i="7"/>
  <c r="J12" i="7"/>
  <c r="K12" i="7"/>
  <c r="L12" i="7"/>
  <c r="E12" i="7"/>
  <c r="D12" i="7"/>
  <c r="Y27" i="5"/>
  <c r="AG27" i="5" s="1"/>
  <c r="M13" i="7"/>
  <c r="M7" i="7"/>
  <c r="Z88" i="5"/>
  <c r="AA88" i="5" s="1"/>
  <c r="V79" i="5"/>
  <c r="W79" i="5" s="1"/>
  <c r="M43" i="5"/>
  <c r="M31" i="5"/>
  <c r="M25" i="5"/>
  <c r="AC94" i="5"/>
  <c r="AD94" i="5" s="1"/>
  <c r="D33" i="7"/>
  <c r="U29" i="7"/>
  <c r="T29" i="7"/>
  <c r="S29" i="7"/>
  <c r="R29" i="7"/>
  <c r="Q29" i="7"/>
  <c r="P29" i="7"/>
  <c r="O29" i="7"/>
  <c r="N29" i="7"/>
  <c r="U28" i="7"/>
  <c r="T28" i="7"/>
  <c r="S28" i="7"/>
  <c r="R28" i="7"/>
  <c r="Q28" i="7"/>
  <c r="P28" i="7"/>
  <c r="O28" i="7"/>
  <c r="N28" i="7"/>
  <c r="U27" i="7"/>
  <c r="T27" i="7"/>
  <c r="S27" i="7"/>
  <c r="R27" i="7"/>
  <c r="Q27" i="7"/>
  <c r="P27" i="7"/>
  <c r="O27" i="7"/>
  <c r="N27" i="7"/>
  <c r="U26" i="7"/>
  <c r="T26" i="7"/>
  <c r="S26" i="7"/>
  <c r="R26" i="7"/>
  <c r="Q26" i="7"/>
  <c r="P26" i="7"/>
  <c r="O26" i="7"/>
  <c r="N26" i="7"/>
  <c r="U25" i="7"/>
  <c r="T25" i="7"/>
  <c r="S25" i="7"/>
  <c r="R25" i="7"/>
  <c r="Q25" i="7"/>
  <c r="P25" i="7"/>
  <c r="O25" i="7"/>
  <c r="N25" i="7"/>
  <c r="U24" i="7"/>
  <c r="T24" i="7"/>
  <c r="S24" i="7"/>
  <c r="R24" i="7"/>
  <c r="Q24" i="7"/>
  <c r="P24" i="7"/>
  <c r="O24" i="7"/>
  <c r="N24" i="7"/>
  <c r="U23" i="7"/>
  <c r="T23" i="7"/>
  <c r="S23" i="7"/>
  <c r="R23" i="7"/>
  <c r="Q23" i="7"/>
  <c r="P23" i="7"/>
  <c r="O23" i="7"/>
  <c r="N23" i="7"/>
  <c r="U22" i="7"/>
  <c r="T22" i="7"/>
  <c r="S22" i="7"/>
  <c r="R22" i="7"/>
  <c r="Q22" i="7"/>
  <c r="P22" i="7"/>
  <c r="O22" i="7"/>
  <c r="N22" i="7"/>
  <c r="U21" i="7"/>
  <c r="T21" i="7"/>
  <c r="S21" i="7"/>
  <c r="R21" i="7"/>
  <c r="Q21" i="7"/>
  <c r="P21" i="7"/>
  <c r="O21" i="7"/>
  <c r="N21" i="7"/>
  <c r="U20" i="7"/>
  <c r="T20" i="7"/>
  <c r="S20" i="7"/>
  <c r="R20" i="7"/>
  <c r="Q20" i="7"/>
  <c r="P20" i="7"/>
  <c r="O20" i="7"/>
  <c r="N20" i="7"/>
  <c r="U19" i="7"/>
  <c r="T19" i="7"/>
  <c r="S19" i="7"/>
  <c r="R19" i="7"/>
  <c r="Q19" i="7"/>
  <c r="P19" i="7"/>
  <c r="O19" i="7"/>
  <c r="N19" i="7"/>
  <c r="U18" i="7"/>
  <c r="T18" i="7"/>
  <c r="S18" i="7"/>
  <c r="R18" i="7"/>
  <c r="Q18" i="7"/>
  <c r="P18" i="7"/>
  <c r="O18" i="7"/>
  <c r="N18" i="7"/>
  <c r="U17" i="7"/>
  <c r="T17" i="7"/>
  <c r="S17" i="7"/>
  <c r="R17" i="7"/>
  <c r="Q17" i="7"/>
  <c r="P17" i="7"/>
  <c r="O17" i="7"/>
  <c r="N17" i="7"/>
  <c r="U16" i="7"/>
  <c r="T16" i="7"/>
  <c r="S16" i="7"/>
  <c r="R16" i="7"/>
  <c r="Q16" i="7"/>
  <c r="P16" i="7"/>
  <c r="O16" i="7"/>
  <c r="N16" i="7"/>
  <c r="U15" i="7"/>
  <c r="T15" i="7"/>
  <c r="S15" i="7"/>
  <c r="R15" i="7"/>
  <c r="Q15" i="7"/>
  <c r="P15" i="7"/>
  <c r="O15" i="7"/>
  <c r="N15" i="7"/>
  <c r="U14" i="7"/>
  <c r="T14" i="7"/>
  <c r="S14" i="7"/>
  <c r="R14" i="7"/>
  <c r="Q14" i="7"/>
  <c r="P14" i="7"/>
  <c r="O14" i="7"/>
  <c r="N14" i="7"/>
  <c r="U13" i="7"/>
  <c r="T13" i="7"/>
  <c r="S13" i="7"/>
  <c r="R13" i="7"/>
  <c r="Q13" i="7"/>
  <c r="P13" i="7"/>
  <c r="O13" i="7"/>
  <c r="N13" i="7"/>
  <c r="U11" i="7"/>
  <c r="T11" i="7"/>
  <c r="S11" i="7"/>
  <c r="R11" i="7"/>
  <c r="Q11" i="7"/>
  <c r="P11" i="7"/>
  <c r="O11" i="7"/>
  <c r="N11" i="7"/>
  <c r="U10" i="7"/>
  <c r="T10" i="7"/>
  <c r="S10" i="7"/>
  <c r="R10" i="7"/>
  <c r="Q10" i="7"/>
  <c r="P10" i="7"/>
  <c r="O10" i="7"/>
  <c r="N10" i="7"/>
  <c r="U9" i="7"/>
  <c r="T9" i="7"/>
  <c r="S9" i="7"/>
  <c r="R9" i="7"/>
  <c r="Q9" i="7"/>
  <c r="P9" i="7"/>
  <c r="O9" i="7"/>
  <c r="N9" i="7"/>
  <c r="U8" i="7"/>
  <c r="T8" i="7"/>
  <c r="S8" i="7"/>
  <c r="R8" i="7"/>
  <c r="Q8" i="7"/>
  <c r="P8" i="7"/>
  <c r="O8" i="7"/>
  <c r="N8" i="7"/>
  <c r="U7" i="7"/>
  <c r="T7" i="7"/>
  <c r="S7" i="7"/>
  <c r="R7" i="7"/>
  <c r="Q7" i="7"/>
  <c r="P7" i="7"/>
  <c r="O7" i="7"/>
  <c r="N7" i="7"/>
  <c r="D57" i="5"/>
  <c r="D58" i="5" s="1"/>
  <c r="U53" i="5"/>
  <c r="T53" i="5"/>
  <c r="S53" i="5"/>
  <c r="R53" i="5"/>
  <c r="Q53" i="5"/>
  <c r="P53" i="5"/>
  <c r="O53" i="5"/>
  <c r="N53" i="5"/>
  <c r="U52" i="5"/>
  <c r="T52" i="5"/>
  <c r="S52" i="5"/>
  <c r="R52" i="5"/>
  <c r="Q52" i="5"/>
  <c r="P52" i="5"/>
  <c r="O52" i="5"/>
  <c r="N52" i="5"/>
  <c r="U51" i="5"/>
  <c r="T51" i="5"/>
  <c r="S51" i="5"/>
  <c r="R51" i="5"/>
  <c r="Q51" i="5"/>
  <c r="P51" i="5"/>
  <c r="O51" i="5"/>
  <c r="N51" i="5"/>
  <c r="U50" i="5"/>
  <c r="T50" i="5"/>
  <c r="S50" i="5"/>
  <c r="R50" i="5"/>
  <c r="Q50" i="5"/>
  <c r="P50" i="5"/>
  <c r="O50" i="5"/>
  <c r="N50" i="5"/>
  <c r="U49" i="5"/>
  <c r="T49" i="5"/>
  <c r="S49" i="5"/>
  <c r="R49" i="5"/>
  <c r="Q49" i="5"/>
  <c r="P49" i="5"/>
  <c r="O49" i="5"/>
  <c r="N49" i="5"/>
  <c r="U48" i="5"/>
  <c r="T48" i="5"/>
  <c r="S48" i="5"/>
  <c r="R48" i="5"/>
  <c r="Q48" i="5"/>
  <c r="P48" i="5"/>
  <c r="O48" i="5"/>
  <c r="N48" i="5"/>
  <c r="U47" i="5"/>
  <c r="T47" i="5"/>
  <c r="S47" i="5"/>
  <c r="R47" i="5"/>
  <c r="Q47" i="5"/>
  <c r="P47" i="5"/>
  <c r="O47" i="5"/>
  <c r="N47" i="5"/>
  <c r="U46" i="5"/>
  <c r="T46" i="5"/>
  <c r="S46" i="5"/>
  <c r="R46" i="5"/>
  <c r="Q46" i="5"/>
  <c r="P46" i="5"/>
  <c r="O46" i="5"/>
  <c r="N46" i="5"/>
  <c r="U45" i="5"/>
  <c r="T45" i="5"/>
  <c r="S45" i="5"/>
  <c r="R45" i="5"/>
  <c r="Q45" i="5"/>
  <c r="P45" i="5"/>
  <c r="O45" i="5"/>
  <c r="N45" i="5"/>
  <c r="U44" i="5"/>
  <c r="T44" i="5"/>
  <c r="S44" i="5"/>
  <c r="R44" i="5"/>
  <c r="Q44" i="5"/>
  <c r="P44" i="5"/>
  <c r="O44" i="5"/>
  <c r="N44" i="5"/>
  <c r="U43" i="5"/>
  <c r="T43" i="5"/>
  <c r="S43" i="5"/>
  <c r="R43" i="5"/>
  <c r="Q43" i="5"/>
  <c r="P43" i="5"/>
  <c r="O43" i="5"/>
  <c r="N43" i="5"/>
  <c r="U23" i="5"/>
  <c r="T23" i="5"/>
  <c r="S23" i="5"/>
  <c r="R23" i="5"/>
  <c r="Q23" i="5"/>
  <c r="P23" i="5"/>
  <c r="O23" i="5"/>
  <c r="N23" i="5"/>
  <c r="U22" i="5"/>
  <c r="T22" i="5"/>
  <c r="S22" i="5"/>
  <c r="R22" i="5"/>
  <c r="Q22" i="5"/>
  <c r="P22" i="5"/>
  <c r="O22" i="5"/>
  <c r="N22" i="5"/>
  <c r="U21" i="5"/>
  <c r="T21" i="5"/>
  <c r="S21" i="5"/>
  <c r="R21" i="5"/>
  <c r="Q21" i="5"/>
  <c r="P21" i="5"/>
  <c r="O21" i="5"/>
  <c r="N21" i="5"/>
  <c r="U20" i="5"/>
  <c r="T20" i="5"/>
  <c r="S20" i="5"/>
  <c r="R20" i="5"/>
  <c r="Q20" i="5"/>
  <c r="P20" i="5"/>
  <c r="O20" i="5"/>
  <c r="N20" i="5"/>
  <c r="U19" i="5"/>
  <c r="T19" i="5"/>
  <c r="S19" i="5"/>
  <c r="R19" i="5"/>
  <c r="Q19" i="5"/>
  <c r="P19" i="5"/>
  <c r="O19" i="5"/>
  <c r="N19" i="5"/>
  <c r="U18" i="5"/>
  <c r="T18" i="5"/>
  <c r="S18" i="5"/>
  <c r="R18" i="5"/>
  <c r="Q18" i="5"/>
  <c r="P18" i="5"/>
  <c r="O18" i="5"/>
  <c r="N18" i="5"/>
  <c r="U17" i="5"/>
  <c r="T17" i="5"/>
  <c r="S17" i="5"/>
  <c r="R17" i="5"/>
  <c r="Q17" i="5"/>
  <c r="P17" i="5"/>
  <c r="O17" i="5"/>
  <c r="N17" i="5"/>
  <c r="U42" i="5"/>
  <c r="T42" i="5"/>
  <c r="S42" i="5"/>
  <c r="R42" i="5"/>
  <c r="Q42" i="5"/>
  <c r="P42" i="5"/>
  <c r="O42" i="5"/>
  <c r="N42" i="5"/>
  <c r="U41" i="5"/>
  <c r="T41" i="5"/>
  <c r="S41" i="5"/>
  <c r="R41" i="5"/>
  <c r="Q41" i="5"/>
  <c r="P41" i="5"/>
  <c r="O41" i="5"/>
  <c r="N41" i="5"/>
  <c r="U40" i="5"/>
  <c r="T40" i="5"/>
  <c r="S40" i="5"/>
  <c r="R40" i="5"/>
  <c r="Q40" i="5"/>
  <c r="P40" i="5"/>
  <c r="O40" i="5"/>
  <c r="N40" i="5"/>
  <c r="U39" i="5"/>
  <c r="T39" i="5"/>
  <c r="S39" i="5"/>
  <c r="R39" i="5"/>
  <c r="Q39" i="5"/>
  <c r="P39" i="5"/>
  <c r="O39" i="5"/>
  <c r="N39" i="5"/>
  <c r="U38" i="5"/>
  <c r="T38" i="5"/>
  <c r="S38" i="5"/>
  <c r="R38" i="5"/>
  <c r="Q38" i="5"/>
  <c r="P38" i="5"/>
  <c r="O38" i="5"/>
  <c r="N38" i="5"/>
  <c r="U37" i="5"/>
  <c r="T37" i="5"/>
  <c r="S37" i="5"/>
  <c r="R37" i="5"/>
  <c r="Q37" i="5"/>
  <c r="P37" i="5"/>
  <c r="O37" i="5"/>
  <c r="N37" i="5"/>
  <c r="U36" i="5"/>
  <c r="T36" i="5"/>
  <c r="S36" i="5"/>
  <c r="R36" i="5"/>
  <c r="Q36" i="5"/>
  <c r="P36" i="5"/>
  <c r="O36" i="5"/>
  <c r="N36" i="5"/>
  <c r="U35" i="5"/>
  <c r="T35" i="5"/>
  <c r="S35" i="5"/>
  <c r="R35" i="5"/>
  <c r="Q35" i="5"/>
  <c r="P35" i="5"/>
  <c r="O35" i="5"/>
  <c r="N35" i="5"/>
  <c r="U34" i="5"/>
  <c r="T34" i="5"/>
  <c r="S34" i="5"/>
  <c r="R34" i="5"/>
  <c r="Q34" i="5"/>
  <c r="P34" i="5"/>
  <c r="O34" i="5"/>
  <c r="N34" i="5"/>
  <c r="U33" i="5"/>
  <c r="T33" i="5"/>
  <c r="S33" i="5"/>
  <c r="R33" i="5"/>
  <c r="Q33" i="5"/>
  <c r="P33" i="5"/>
  <c r="O33" i="5"/>
  <c r="N33" i="5"/>
  <c r="U32" i="5"/>
  <c r="T32" i="5"/>
  <c r="S32" i="5"/>
  <c r="R32" i="5"/>
  <c r="Q32" i="5"/>
  <c r="P32" i="5"/>
  <c r="O32" i="5"/>
  <c r="N32" i="5"/>
  <c r="U31" i="5"/>
  <c r="T31" i="5"/>
  <c r="S31" i="5"/>
  <c r="R31" i="5"/>
  <c r="Q31" i="5"/>
  <c r="P31" i="5"/>
  <c r="O31" i="5"/>
  <c r="N31" i="5"/>
  <c r="U30" i="5"/>
  <c r="T30" i="5"/>
  <c r="S30" i="5"/>
  <c r="R30" i="5"/>
  <c r="Q30" i="5"/>
  <c r="P30" i="5"/>
  <c r="O30" i="5"/>
  <c r="N30" i="5"/>
  <c r="U29" i="5"/>
  <c r="T29" i="5"/>
  <c r="S29" i="5"/>
  <c r="R29" i="5"/>
  <c r="Q29" i="5"/>
  <c r="P29" i="5"/>
  <c r="O29" i="5"/>
  <c r="N29" i="5"/>
  <c r="U28" i="5"/>
  <c r="T28" i="5"/>
  <c r="S28" i="5"/>
  <c r="R28" i="5"/>
  <c r="Q28" i="5"/>
  <c r="P28" i="5"/>
  <c r="O28" i="5"/>
  <c r="N28" i="5"/>
  <c r="U27" i="5"/>
  <c r="T27" i="5"/>
  <c r="S27" i="5"/>
  <c r="R27" i="5"/>
  <c r="Q27" i="5"/>
  <c r="P27" i="5"/>
  <c r="O27" i="5"/>
  <c r="N27" i="5"/>
  <c r="U26" i="5"/>
  <c r="T26" i="5"/>
  <c r="S26" i="5"/>
  <c r="R26" i="5"/>
  <c r="Q26" i="5"/>
  <c r="P26" i="5"/>
  <c r="O26" i="5"/>
  <c r="N26" i="5"/>
  <c r="U25" i="5"/>
  <c r="T25" i="5"/>
  <c r="S25" i="5"/>
  <c r="R25" i="5"/>
  <c r="Q25" i="5"/>
  <c r="P25" i="5"/>
  <c r="O25" i="5"/>
  <c r="N25" i="5"/>
  <c r="U16" i="5"/>
  <c r="T16" i="5"/>
  <c r="S16" i="5"/>
  <c r="R16" i="5"/>
  <c r="Q16" i="5"/>
  <c r="P16" i="5"/>
  <c r="O16" i="5"/>
  <c r="N16" i="5"/>
  <c r="U15" i="5"/>
  <c r="T15" i="5"/>
  <c r="S15" i="5"/>
  <c r="R15" i="5"/>
  <c r="Q15" i="5"/>
  <c r="P15" i="5"/>
  <c r="O15" i="5"/>
  <c r="N15" i="5"/>
  <c r="U14" i="5"/>
  <c r="T14" i="5"/>
  <c r="S14" i="5"/>
  <c r="R14" i="5"/>
  <c r="Q14" i="5"/>
  <c r="P14" i="5"/>
  <c r="O14" i="5"/>
  <c r="N14" i="5"/>
  <c r="U13" i="5"/>
  <c r="T13" i="5"/>
  <c r="S13" i="5"/>
  <c r="R13" i="5"/>
  <c r="Q13" i="5"/>
  <c r="P13" i="5"/>
  <c r="O13" i="5"/>
  <c r="N13" i="5"/>
  <c r="U12" i="5"/>
  <c r="T12" i="5"/>
  <c r="S12" i="5"/>
  <c r="R12" i="5"/>
  <c r="Q12" i="5"/>
  <c r="P12" i="5"/>
  <c r="O12" i="5"/>
  <c r="N12" i="5"/>
  <c r="U11" i="5"/>
  <c r="T11" i="5"/>
  <c r="S11" i="5"/>
  <c r="R11" i="5"/>
  <c r="Q11" i="5"/>
  <c r="P11" i="5"/>
  <c r="O11" i="5"/>
  <c r="N11" i="5"/>
  <c r="U10" i="5"/>
  <c r="T10" i="5"/>
  <c r="S10" i="5"/>
  <c r="R10" i="5"/>
  <c r="Q10" i="5"/>
  <c r="P10" i="5"/>
  <c r="O10" i="5"/>
  <c r="N10" i="5"/>
  <c r="U9" i="5"/>
  <c r="T9" i="5"/>
  <c r="S9" i="5"/>
  <c r="R9" i="5"/>
  <c r="Q9" i="5"/>
  <c r="P9" i="5"/>
  <c r="O9" i="5"/>
  <c r="N9" i="5"/>
  <c r="U8" i="5"/>
  <c r="T8" i="5"/>
  <c r="S8" i="5"/>
  <c r="R8" i="5"/>
  <c r="Q8" i="5"/>
  <c r="P8" i="5"/>
  <c r="O8" i="5"/>
  <c r="N8" i="5"/>
  <c r="U7" i="5"/>
  <c r="T7" i="5"/>
  <c r="S7" i="5"/>
  <c r="R7" i="5"/>
  <c r="Q7" i="5"/>
  <c r="P7" i="5"/>
  <c r="O7" i="5"/>
  <c r="N7" i="5"/>
  <c r="W79" i="1"/>
  <c r="E79" i="1"/>
  <c r="E78" i="1"/>
  <c r="Q7" i="1"/>
  <c r="R7" i="1"/>
  <c r="S7" i="1"/>
  <c r="T7" i="1"/>
  <c r="U7" i="1"/>
  <c r="V7" i="1"/>
  <c r="W7" i="1"/>
  <c r="X7" i="1"/>
  <c r="Q8" i="1"/>
  <c r="R8" i="1"/>
  <c r="S8" i="1"/>
  <c r="T8" i="1"/>
  <c r="U8" i="1"/>
  <c r="V8" i="1"/>
  <c r="W8" i="1"/>
  <c r="X8" i="1"/>
  <c r="Q9" i="1"/>
  <c r="R9" i="1"/>
  <c r="S9" i="1"/>
  <c r="T9" i="1"/>
  <c r="U9" i="1"/>
  <c r="V9" i="1"/>
  <c r="W9" i="1"/>
  <c r="X9" i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Q13" i="1"/>
  <c r="R13" i="1"/>
  <c r="S13" i="1"/>
  <c r="T13" i="1"/>
  <c r="U13" i="1"/>
  <c r="V13" i="1"/>
  <c r="W13" i="1"/>
  <c r="X13" i="1"/>
  <c r="Q14" i="1"/>
  <c r="R14" i="1"/>
  <c r="S14" i="1"/>
  <c r="T14" i="1"/>
  <c r="U14" i="1"/>
  <c r="V14" i="1"/>
  <c r="W14" i="1"/>
  <c r="X14" i="1"/>
  <c r="Q15" i="1"/>
  <c r="R15" i="1"/>
  <c r="S15" i="1"/>
  <c r="T15" i="1"/>
  <c r="U15" i="1"/>
  <c r="V15" i="1"/>
  <c r="W15" i="1"/>
  <c r="X15" i="1"/>
  <c r="Q16" i="1"/>
  <c r="R16" i="1"/>
  <c r="S16" i="1"/>
  <c r="T16" i="1"/>
  <c r="U16" i="1"/>
  <c r="V16" i="1"/>
  <c r="W16" i="1"/>
  <c r="X16" i="1"/>
  <c r="Q17" i="1"/>
  <c r="R17" i="1"/>
  <c r="S17" i="1"/>
  <c r="T17" i="1"/>
  <c r="U17" i="1"/>
  <c r="V17" i="1"/>
  <c r="W17" i="1"/>
  <c r="X17" i="1"/>
  <c r="Q18" i="1"/>
  <c r="R18" i="1"/>
  <c r="S18" i="1"/>
  <c r="T18" i="1"/>
  <c r="U18" i="1"/>
  <c r="V18" i="1"/>
  <c r="W18" i="1"/>
  <c r="X18" i="1"/>
  <c r="S20" i="1"/>
  <c r="T20" i="1"/>
  <c r="U20" i="1"/>
  <c r="V20" i="1"/>
  <c r="W20" i="1"/>
  <c r="X20" i="1"/>
  <c r="S21" i="1"/>
  <c r="T21" i="1"/>
  <c r="U21" i="1"/>
  <c r="V21" i="1"/>
  <c r="W21" i="1"/>
  <c r="X21" i="1"/>
  <c r="S22" i="1"/>
  <c r="T22" i="1"/>
  <c r="U22" i="1"/>
  <c r="V22" i="1"/>
  <c r="W22" i="1"/>
  <c r="X22" i="1"/>
  <c r="S23" i="1"/>
  <c r="T23" i="1"/>
  <c r="U23" i="1"/>
  <c r="V23" i="1"/>
  <c r="W23" i="1"/>
  <c r="X23" i="1"/>
  <c r="S24" i="1"/>
  <c r="T24" i="1"/>
  <c r="U24" i="1"/>
  <c r="V24" i="1"/>
  <c r="W24" i="1"/>
  <c r="X24" i="1"/>
  <c r="S25" i="1"/>
  <c r="T25" i="1"/>
  <c r="U25" i="1"/>
  <c r="V25" i="1"/>
  <c r="W25" i="1"/>
  <c r="X25" i="1"/>
  <c r="S26" i="1"/>
  <c r="T26" i="1"/>
  <c r="U26" i="1"/>
  <c r="V26" i="1"/>
  <c r="W26" i="1"/>
  <c r="X26" i="1"/>
  <c r="S27" i="1"/>
  <c r="T27" i="1"/>
  <c r="U27" i="1"/>
  <c r="V27" i="1"/>
  <c r="W27" i="1"/>
  <c r="X27" i="1"/>
  <c r="S28" i="1"/>
  <c r="T28" i="1"/>
  <c r="U28" i="1"/>
  <c r="V28" i="1"/>
  <c r="W28" i="1"/>
  <c r="X28" i="1"/>
  <c r="S29" i="1"/>
  <c r="T29" i="1"/>
  <c r="U29" i="1"/>
  <c r="V29" i="1"/>
  <c r="W29" i="1"/>
  <c r="X29" i="1"/>
  <c r="S30" i="1"/>
  <c r="T30" i="1"/>
  <c r="U30" i="1"/>
  <c r="V30" i="1"/>
  <c r="W30" i="1"/>
  <c r="X30" i="1"/>
  <c r="S31" i="1"/>
  <c r="T31" i="1"/>
  <c r="U31" i="1"/>
  <c r="V31" i="1"/>
  <c r="W31" i="1"/>
  <c r="X31" i="1"/>
  <c r="S32" i="1"/>
  <c r="T32" i="1"/>
  <c r="U32" i="1"/>
  <c r="V32" i="1"/>
  <c r="W32" i="1"/>
  <c r="X32" i="1"/>
  <c r="S33" i="1"/>
  <c r="T33" i="1"/>
  <c r="U33" i="1"/>
  <c r="V33" i="1"/>
  <c r="W33" i="1"/>
  <c r="X33" i="1"/>
  <c r="S34" i="1"/>
  <c r="T34" i="1"/>
  <c r="U34" i="1"/>
  <c r="V34" i="1"/>
  <c r="W34" i="1"/>
  <c r="X34" i="1"/>
  <c r="S35" i="1"/>
  <c r="T35" i="1"/>
  <c r="U35" i="1"/>
  <c r="V35" i="1"/>
  <c r="W35" i="1"/>
  <c r="X35" i="1"/>
  <c r="S36" i="1"/>
  <c r="T36" i="1"/>
  <c r="U36" i="1"/>
  <c r="V36" i="1"/>
  <c r="W36" i="1"/>
  <c r="X36" i="1"/>
  <c r="S37" i="1"/>
  <c r="T37" i="1"/>
  <c r="U37" i="1"/>
  <c r="V37" i="1"/>
  <c r="W37" i="1"/>
  <c r="X37" i="1"/>
  <c r="S38" i="1"/>
  <c r="T38" i="1"/>
  <c r="U38" i="1"/>
  <c r="V38" i="1"/>
  <c r="W38" i="1"/>
  <c r="X38" i="1"/>
  <c r="S39" i="1"/>
  <c r="T39" i="1"/>
  <c r="U39" i="1"/>
  <c r="V39" i="1"/>
  <c r="W39" i="1"/>
  <c r="X39" i="1"/>
  <c r="S40" i="1"/>
  <c r="T40" i="1"/>
  <c r="U40" i="1"/>
  <c r="V40" i="1"/>
  <c r="W40" i="1"/>
  <c r="X40" i="1"/>
  <c r="S41" i="1"/>
  <c r="T41" i="1"/>
  <c r="U41" i="1"/>
  <c r="V41" i="1"/>
  <c r="W41" i="1"/>
  <c r="X41" i="1"/>
  <c r="S42" i="1"/>
  <c r="T42" i="1"/>
  <c r="U42" i="1"/>
  <c r="V42" i="1"/>
  <c r="W42" i="1"/>
  <c r="X42" i="1"/>
  <c r="S43" i="1"/>
  <c r="T43" i="1"/>
  <c r="U43" i="1"/>
  <c r="V43" i="1"/>
  <c r="W43" i="1"/>
  <c r="X43" i="1"/>
  <c r="S44" i="1"/>
  <c r="T44" i="1"/>
  <c r="U44" i="1"/>
  <c r="V44" i="1"/>
  <c r="W44" i="1"/>
  <c r="X44" i="1"/>
  <c r="S45" i="1"/>
  <c r="T45" i="1"/>
  <c r="U45" i="1"/>
  <c r="V45" i="1"/>
  <c r="W45" i="1"/>
  <c r="X45" i="1"/>
  <c r="S46" i="1"/>
  <c r="T46" i="1"/>
  <c r="U46" i="1"/>
  <c r="V46" i="1"/>
  <c r="W46" i="1"/>
  <c r="X46" i="1"/>
  <c r="S47" i="1"/>
  <c r="T47" i="1"/>
  <c r="U47" i="1"/>
  <c r="V47" i="1"/>
  <c r="W47" i="1"/>
  <c r="X47" i="1"/>
  <c r="S48" i="1"/>
  <c r="T48" i="1"/>
  <c r="U48" i="1"/>
  <c r="V48" i="1"/>
  <c r="W48" i="1"/>
  <c r="X48" i="1"/>
  <c r="S49" i="1"/>
  <c r="T49" i="1"/>
  <c r="U49" i="1"/>
  <c r="V49" i="1"/>
  <c r="W49" i="1"/>
  <c r="X49" i="1"/>
  <c r="S50" i="1"/>
  <c r="T50" i="1"/>
  <c r="U50" i="1"/>
  <c r="V50" i="1"/>
  <c r="W50" i="1"/>
  <c r="X50" i="1"/>
  <c r="S51" i="1"/>
  <c r="T51" i="1"/>
  <c r="U51" i="1"/>
  <c r="V51" i="1"/>
  <c r="W51" i="1"/>
  <c r="X51" i="1"/>
  <c r="S52" i="1"/>
  <c r="T52" i="1"/>
  <c r="U52" i="1"/>
  <c r="V52" i="1"/>
  <c r="W52" i="1"/>
  <c r="X52" i="1"/>
  <c r="S53" i="1"/>
  <c r="T53" i="1"/>
  <c r="U53" i="1"/>
  <c r="V53" i="1"/>
  <c r="W53" i="1"/>
  <c r="X53" i="1"/>
  <c r="S54" i="1"/>
  <c r="T54" i="1"/>
  <c r="U54" i="1"/>
  <c r="V54" i="1"/>
  <c r="W54" i="1"/>
  <c r="X54" i="1"/>
  <c r="S55" i="1"/>
  <c r="T55" i="1"/>
  <c r="U55" i="1"/>
  <c r="V55" i="1"/>
  <c r="W55" i="1"/>
  <c r="X55" i="1"/>
  <c r="S56" i="1"/>
  <c r="T56" i="1"/>
  <c r="U56" i="1"/>
  <c r="V56" i="1"/>
  <c r="W56" i="1"/>
  <c r="X56" i="1"/>
  <c r="S57" i="1"/>
  <c r="T57" i="1"/>
  <c r="U57" i="1"/>
  <c r="V57" i="1"/>
  <c r="W57" i="1"/>
  <c r="X57" i="1"/>
  <c r="S58" i="1"/>
  <c r="T58" i="1"/>
  <c r="U58" i="1"/>
  <c r="V58" i="1"/>
  <c r="W58" i="1"/>
  <c r="X58" i="1"/>
  <c r="S59" i="1"/>
  <c r="T59" i="1"/>
  <c r="U59" i="1"/>
  <c r="V59" i="1"/>
  <c r="W59" i="1"/>
  <c r="X59" i="1"/>
  <c r="S60" i="1"/>
  <c r="T60" i="1"/>
  <c r="U60" i="1"/>
  <c r="V60" i="1"/>
  <c r="W60" i="1"/>
  <c r="X60" i="1"/>
  <c r="S61" i="1"/>
  <c r="T61" i="1"/>
  <c r="U61" i="1"/>
  <c r="V61" i="1"/>
  <c r="W61" i="1"/>
  <c r="X61" i="1"/>
  <c r="S62" i="1"/>
  <c r="T62" i="1"/>
  <c r="U62" i="1"/>
  <c r="V62" i="1"/>
  <c r="W62" i="1"/>
  <c r="X62" i="1"/>
  <c r="S63" i="1"/>
  <c r="T63" i="1"/>
  <c r="U63" i="1"/>
  <c r="V63" i="1"/>
  <c r="W63" i="1"/>
  <c r="X63" i="1"/>
  <c r="S64" i="1"/>
  <c r="T64" i="1"/>
  <c r="U64" i="1"/>
  <c r="V64" i="1"/>
  <c r="W64" i="1"/>
  <c r="X64" i="1"/>
  <c r="S65" i="1"/>
  <c r="T65" i="1"/>
  <c r="U65" i="1"/>
  <c r="V65" i="1"/>
  <c r="W65" i="1"/>
  <c r="X65" i="1"/>
  <c r="S66" i="1"/>
  <c r="T66" i="1"/>
  <c r="U66" i="1"/>
  <c r="V66" i="1"/>
  <c r="W66" i="1"/>
  <c r="X66" i="1"/>
  <c r="S67" i="1"/>
  <c r="T67" i="1"/>
  <c r="U67" i="1"/>
  <c r="V67" i="1"/>
  <c r="W67" i="1"/>
  <c r="X67" i="1"/>
  <c r="S68" i="1"/>
  <c r="T68" i="1"/>
  <c r="U68" i="1"/>
  <c r="V68" i="1"/>
  <c r="W68" i="1"/>
  <c r="X68" i="1"/>
  <c r="S69" i="1"/>
  <c r="T69" i="1"/>
  <c r="U69" i="1"/>
  <c r="V69" i="1"/>
  <c r="W69" i="1"/>
  <c r="X69" i="1"/>
  <c r="S70" i="1"/>
  <c r="T70" i="1"/>
  <c r="U70" i="1"/>
  <c r="V70" i="1"/>
  <c r="W70" i="1"/>
  <c r="X70" i="1"/>
  <c r="S71" i="1"/>
  <c r="T71" i="1"/>
  <c r="U71" i="1"/>
  <c r="V71" i="1"/>
  <c r="W71" i="1"/>
  <c r="X71" i="1"/>
  <c r="S72" i="1"/>
  <c r="T72" i="1"/>
  <c r="U72" i="1"/>
  <c r="V72" i="1"/>
  <c r="W72" i="1"/>
  <c r="X72" i="1"/>
  <c r="S73" i="1"/>
  <c r="T73" i="1"/>
  <c r="U73" i="1"/>
  <c r="V73" i="1"/>
  <c r="W73" i="1"/>
  <c r="X73" i="1"/>
  <c r="S74" i="1"/>
  <c r="T74" i="1"/>
  <c r="U74" i="1"/>
  <c r="V74" i="1"/>
  <c r="W74" i="1"/>
  <c r="X74" i="1"/>
  <c r="X19" i="1"/>
  <c r="W19" i="1"/>
  <c r="V19" i="1"/>
  <c r="U19" i="1"/>
  <c r="T19" i="1"/>
  <c r="S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19" i="1"/>
  <c r="V79" i="1" l="1"/>
  <c r="L79" i="1" s="1"/>
  <c r="S78" i="1"/>
  <c r="I78" i="1" s="1"/>
  <c r="U78" i="1"/>
  <c r="K78" i="1" s="1"/>
  <c r="Q78" i="1"/>
  <c r="V78" i="1"/>
  <c r="L78" i="1" s="1"/>
  <c r="T78" i="1"/>
  <c r="J78" i="1" s="1"/>
  <c r="R78" i="1"/>
  <c r="H78" i="1" s="1"/>
  <c r="Q79" i="1"/>
  <c r="G79" i="1" s="1"/>
  <c r="P78" i="1"/>
  <c r="F78" i="1" s="1"/>
  <c r="R79" i="1"/>
  <c r="H79" i="1" s="1"/>
  <c r="W78" i="1"/>
  <c r="M78" i="1" s="1"/>
  <c r="P79" i="1"/>
  <c r="F79" i="1" s="1"/>
  <c r="U79" i="1"/>
  <c r="K79" i="1" s="1"/>
  <c r="T79" i="1"/>
  <c r="J79" i="1" s="1"/>
  <c r="S79" i="1"/>
  <c r="I79" i="1" s="1"/>
  <c r="E24" i="9"/>
  <c r="K24" i="9"/>
  <c r="L24" i="9"/>
  <c r="J24" i="9"/>
  <c r="I24" i="9"/>
  <c r="H24" i="9"/>
  <c r="G24" i="9"/>
  <c r="Z27" i="5"/>
  <c r="AA27" i="5"/>
  <c r="AF27" i="5"/>
  <c r="AE27" i="5"/>
  <c r="AD27" i="5"/>
  <c r="AC27" i="5"/>
  <c r="AB27" i="5"/>
  <c r="D34" i="7"/>
  <c r="O57" i="5"/>
  <c r="F57" i="5" s="1"/>
  <c r="N57" i="5"/>
  <c r="E57" i="5" s="1"/>
  <c r="P57" i="5"/>
  <c r="G57" i="5" s="1"/>
  <c r="R57" i="5"/>
  <c r="I57" i="5" s="1"/>
  <c r="T57" i="5"/>
  <c r="K57" i="5" s="1"/>
  <c r="U57" i="5"/>
  <c r="L57" i="5" s="1"/>
  <c r="Q57" i="5"/>
  <c r="H57" i="5" s="1"/>
  <c r="S57" i="5"/>
  <c r="J57" i="5" s="1"/>
  <c r="N33" i="7"/>
  <c r="E33" i="7" s="1"/>
  <c r="O33" i="7"/>
  <c r="F33" i="7" s="1"/>
  <c r="P33" i="7"/>
  <c r="G33" i="7" s="1"/>
  <c r="Q33" i="7"/>
  <c r="H33" i="7" s="1"/>
  <c r="R33" i="7"/>
  <c r="I33" i="7" s="1"/>
  <c r="S33" i="7"/>
  <c r="J33" i="7" s="1"/>
  <c r="T33" i="7"/>
  <c r="K33" i="7" s="1"/>
  <c r="U33" i="7"/>
  <c r="L33" i="7" s="1"/>
  <c r="G78" i="1"/>
  <c r="M79" i="1"/>
  <c r="E80" i="1"/>
</calcChain>
</file>

<file path=xl/sharedStrings.xml><?xml version="1.0" encoding="utf-8"?>
<sst xmlns="http://schemas.openxmlformats.org/spreadsheetml/2006/main" count="497" uniqueCount="132">
  <si>
    <t xml:space="preserve">Lab: </t>
  </si>
  <si>
    <t>Jilling Lab</t>
  </si>
  <si>
    <t>Sr. no.</t>
  </si>
  <si>
    <t>Lab Sample ID</t>
  </si>
  <si>
    <t xml:space="preserve"> Result </t>
  </si>
  <si>
    <t>Fe</t>
  </si>
  <si>
    <t>SiO2</t>
  </si>
  <si>
    <t>Al2O3</t>
  </si>
  <si>
    <t>Na2O</t>
  </si>
  <si>
    <t>K2O</t>
  </si>
  <si>
    <t>P</t>
  </si>
  <si>
    <t>MnO</t>
  </si>
  <si>
    <t>LOI</t>
  </si>
  <si>
    <t>190520250121083007</t>
  </si>
  <si>
    <t>190520250121083006</t>
  </si>
  <si>
    <t>190520250121083005</t>
  </si>
  <si>
    <t>180520250121083003</t>
  </si>
  <si>
    <t>180520251300000075</t>
  </si>
  <si>
    <t>180520250121083001</t>
  </si>
  <si>
    <t>170520250121083069</t>
  </si>
  <si>
    <t>170520250121083068</t>
  </si>
  <si>
    <t>170520250121083067</t>
  </si>
  <si>
    <t>170520250121083066</t>
  </si>
  <si>
    <t>160520250121083122</t>
  </si>
  <si>
    <t>160520250121083121</t>
  </si>
  <si>
    <t>160520250121083120</t>
  </si>
  <si>
    <t>150520250121083018</t>
  </si>
  <si>
    <t>150520250121083017</t>
  </si>
  <si>
    <t>150520250121083016</t>
  </si>
  <si>
    <t>150520250121083015</t>
  </si>
  <si>
    <t>140520250121083143</t>
  </si>
  <si>
    <t>140520250121083142</t>
  </si>
  <si>
    <t>140520250121083141</t>
  </si>
  <si>
    <t>140520250121083013</t>
  </si>
  <si>
    <t>140520250121083012</t>
  </si>
  <si>
    <t>140520250121083011</t>
  </si>
  <si>
    <t>140520250121083010</t>
  </si>
  <si>
    <t>120520250121083010</t>
  </si>
  <si>
    <t>120520250121083009</t>
  </si>
  <si>
    <t>120520250121083008</t>
  </si>
  <si>
    <t>110520250121083004</t>
  </si>
  <si>
    <t>110520250121083003</t>
  </si>
  <si>
    <t>110520250121083002</t>
  </si>
  <si>
    <t>110520250121083001</t>
  </si>
  <si>
    <t>100520250121083026</t>
  </si>
  <si>
    <t>100520250121083025</t>
  </si>
  <si>
    <t>100520250121083024</t>
  </si>
  <si>
    <t>090520250121083027</t>
  </si>
  <si>
    <t>090520250121083026</t>
  </si>
  <si>
    <t>090520250121083025</t>
  </si>
  <si>
    <t>080520250121083076</t>
  </si>
  <si>
    <t>080520250121083075</t>
  </si>
  <si>
    <t>080520250121083074</t>
  </si>
  <si>
    <t>070520250121083171</t>
  </si>
  <si>
    <t>070520250121083170</t>
  </si>
  <si>
    <t>070520250121083169</t>
  </si>
  <si>
    <t>060520250121083008</t>
  </si>
  <si>
    <t>060520250121083007</t>
  </si>
  <si>
    <t>060520250121083006</t>
  </si>
  <si>
    <t>060520250121083005</t>
  </si>
  <si>
    <t>050520250121083004</t>
  </si>
  <si>
    <t>050520250121083003</t>
  </si>
  <si>
    <t>050520250121083002</t>
  </si>
  <si>
    <t>040520250121083015</t>
  </si>
  <si>
    <t>040520250121083014</t>
  </si>
  <si>
    <t>040520250121083013</t>
  </si>
  <si>
    <t>030520250121083033</t>
  </si>
  <si>
    <t>030520250121083032</t>
  </si>
  <si>
    <t>030520250121083031</t>
  </si>
  <si>
    <t xml:space="preserve">   -------------------------------------- No Samples Details Found --------------------------------------------      </t>
  </si>
  <si>
    <t xml:space="preserve">                                                                                                                                            Production  Sample Analysis Report      		     	                        </t>
  </si>
  <si>
    <t>Mines</t>
  </si>
  <si>
    <t>Banspani</t>
  </si>
  <si>
    <t>Lot size</t>
  </si>
  <si>
    <t>Product Type</t>
  </si>
  <si>
    <t>Fines</t>
  </si>
  <si>
    <t>CLO</t>
  </si>
  <si>
    <t>FINES</t>
  </si>
  <si>
    <t>Tons</t>
  </si>
  <si>
    <t>Ore Type</t>
  </si>
  <si>
    <t>010620250121083005</t>
  </si>
  <si>
    <t>010620250121083004</t>
  </si>
  <si>
    <t>300520250121083053</t>
  </si>
  <si>
    <t>300520250121083052</t>
  </si>
  <si>
    <t>220520250121083150</t>
  </si>
  <si>
    <t>220520250121083149</t>
  </si>
  <si>
    <t>210520250121083003</t>
  </si>
  <si>
    <t>210520250121083002</t>
  </si>
  <si>
    <t>210520250121083001</t>
  </si>
  <si>
    <t>200520250121083159</t>
  </si>
  <si>
    <t>200520250121083158</t>
  </si>
  <si>
    <t>200520250121083157</t>
  </si>
  <si>
    <t>030520250121083032 to 180520250121083002</t>
  </si>
  <si>
    <t>200520250121083157 to 010620250121083004</t>
  </si>
  <si>
    <t>CLO BLENDING REPORT</t>
  </si>
  <si>
    <t>FINES BLENDING REPORT</t>
  </si>
  <si>
    <t>Total</t>
  </si>
  <si>
    <t>Production</t>
  </si>
  <si>
    <t>Shifted</t>
  </si>
  <si>
    <t>RAW</t>
  </si>
  <si>
    <t>BLENDED</t>
  </si>
  <si>
    <t>(-16,085.15)</t>
  </si>
  <si>
    <t>May'25</t>
  </si>
  <si>
    <t>Apr'25</t>
  </si>
  <si>
    <t>Size Analysis</t>
  </si>
  <si>
    <t xml:space="preserve"> </t>
  </si>
  <si>
    <t xml:space="preserve"> 'O' Size </t>
  </si>
  <si>
    <t xml:space="preserve"> 'U' Size </t>
  </si>
  <si>
    <t xml:space="preserve">Horrizon plant </t>
  </si>
  <si>
    <t xml:space="preserve">Horrizon fixed </t>
  </si>
  <si>
    <t>Horrizon fixed</t>
  </si>
  <si>
    <t xml:space="preserve">Horizon plant </t>
  </si>
  <si>
    <t>Extec plant</t>
  </si>
  <si>
    <t>Horrizon plant</t>
  </si>
  <si>
    <t xml:space="preserve">Extec plant </t>
  </si>
  <si>
    <t>Horizon plant</t>
  </si>
  <si>
    <t xml:space="preserve">Horizon Fixed </t>
  </si>
  <si>
    <t xml:space="preserve">Harrizon plant </t>
  </si>
  <si>
    <t xml:space="preserve">Extec screen plant </t>
  </si>
  <si>
    <t xml:space="preserve">Extec </t>
  </si>
  <si>
    <t xml:space="preserve">Horrizon </t>
  </si>
  <si>
    <t>Horrizon fixed plant</t>
  </si>
  <si>
    <t>Horrizon 2 plant</t>
  </si>
  <si>
    <t>Horrizon 2</t>
  </si>
  <si>
    <t xml:space="preserve">Harrizon fixed </t>
  </si>
  <si>
    <t>Harrizon 2</t>
  </si>
  <si>
    <t xml:space="preserve">Harrizon Fixed </t>
  </si>
  <si>
    <t xml:space="preserve">Harrizon </t>
  </si>
  <si>
    <t>Name Of Plant</t>
  </si>
  <si>
    <t>ID</t>
  </si>
  <si>
    <t>60-62 Fe%</t>
  </si>
  <si>
    <t>62-65 Fe%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</si>
</sst>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2" fontId="0" fillId="0" borderId="0" xfId="0" applyNumberFormat="1"/>
    <xf numFmtId="2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6" fillId="0" borderId="0" xfId="0" applyFont="1"/>
    <xf numFmtId="21" fontId="0" fillId="0" borderId="1" xfId="0" applyNumberFormat="1" applyBorder="1" applyAlignment="1">
      <alignment horizontal="center" vertical="center"/>
    </xf>
    <xf numFmtId="2" fontId="0" fillId="0" borderId="2" xfId="0" applyNumberFormat="1" applyBorder="1"/>
    <xf numFmtId="21" fontId="0" fillId="0" borderId="4" xfId="0" applyNumberFormat="1" applyBorder="1" applyAlignment="1">
      <alignment horizontal="center"/>
    </xf>
    <xf numFmtId="21" fontId="0" fillId="0" borderId="6" xfId="0" applyNumberFormat="1" applyBorder="1" applyAlignment="1">
      <alignment horizontal="center"/>
    </xf>
    <xf numFmtId="2" fontId="0" fillId="0" borderId="7" xfId="0" applyNumberFormat="1" applyBorder="1"/>
    <xf numFmtId="21" fontId="0" fillId="0" borderId="1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/>
    <xf numFmtId="0" fontId="18" fillId="0" borderId="4" xfId="0" applyFont="1" applyBorder="1" applyAlignment="1">
      <alignment horizontal="center" vertical="center"/>
    </xf>
    <xf numFmtId="2" fontId="0" fillId="0" borderId="5" xfId="0" applyNumberFormat="1" applyBorder="1"/>
    <xf numFmtId="0" fontId="18" fillId="0" borderId="6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/>
    </xf>
    <xf numFmtId="2" fontId="0" fillId="0" borderId="0" xfId="0" applyNumberFormat="1" applyAlignment="1">
      <alignment vertical="center"/>
    </xf>
    <xf numFmtId="0" fontId="19" fillId="0" borderId="8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" fontId="19" fillId="0" borderId="8" xfId="0" applyNumberFormat="1" applyFont="1" applyBorder="1" applyAlignment="1">
      <alignment vertical="center" wrapText="1"/>
    </xf>
    <xf numFmtId="0" fontId="20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/>
    <xf numFmtId="0" fontId="0" fillId="0" borderId="0" xfId="0"/>
    <xf numFmtId="0" fontId="16" fillId="0" borderId="0" xfId="0" applyFont="1"/>
    <xf numFmtId="0" fontId="17" fillId="0" borderId="0" xfId="0" applyFont="1"/>
    <xf numFmtId="0" fontId="1" fillId="0" borderId="0" xfId="0" applyFont="1"/>
    <xf numFmtId="0" fontId="5" fillId="0" borderId="0" xfId="0" applyFont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80"/>
  <sheetViews>
    <sheetView tabSelected="1" workbookViewId="0">
      <selection activeCell="H17" sqref="H17"/>
    </sheetView>
  </sheetViews>
  <sheetFormatPr defaultRowHeight="14.4" x14ac:dyDescent="0.3"/>
  <cols>
    <col min="1" max="1" width="6.44140625" bestFit="1" customWidth="1"/>
    <col min="2" max="2" width="15.5546875" style="16" customWidth="1"/>
    <col min="3" max="4" width="14.6640625" customWidth="1"/>
    <col min="5" max="5" width="11.109375" bestFit="1" customWidth="1"/>
    <col min="6" max="6" width="12.21875" bestFit="1" customWidth="1"/>
    <col min="7" max="7" width="6.44140625" bestFit="1" customWidth="1"/>
    <col min="8" max="8" width="7.5546875" bestFit="1" customWidth="1"/>
    <col min="9" max="11" width="6" bestFit="1" customWidth="1"/>
    <col min="12" max="12" width="7.5546875" bestFit="1" customWidth="1"/>
    <col min="13" max="14" width="6" bestFit="1" customWidth="1"/>
    <col min="15" max="15" width="4.33203125" bestFit="1" customWidth="1"/>
    <col min="16" max="16" width="8.88671875" customWidth="1"/>
    <col min="17" max="24" width="8.88671875" hidden="1" customWidth="1"/>
  </cols>
  <sheetData>
    <row r="1" spans="1:25" ht="15.6" x14ac:dyDescent="0.3">
      <c r="A1" s="48" t="s">
        <v>70</v>
      </c>
    </row>
    <row r="5" spans="1:25" x14ac:dyDescent="0.3">
      <c r="A5" s="52" t="s">
        <v>2</v>
      </c>
      <c r="B5" s="49"/>
      <c r="C5" s="50" t="s">
        <v>128</v>
      </c>
      <c r="D5" s="51" t="s">
        <v>74</v>
      </c>
      <c r="E5" s="51" t="s">
        <v>73</v>
      </c>
      <c r="F5" s="50" t="s">
        <v>104</v>
      </c>
      <c r="G5" s="50"/>
      <c r="H5" s="21" t="s">
        <v>4</v>
      </c>
    </row>
    <row r="6" spans="1:25" x14ac:dyDescent="0.3">
      <c r="A6" s="53"/>
      <c r="B6" s="17" t="s">
        <v>129</v>
      </c>
      <c r="C6" s="50" t="s">
        <v>105</v>
      </c>
      <c r="D6" s="51"/>
      <c r="E6" s="51"/>
      <c r="F6" s="47" t="s">
        <v>106</v>
      </c>
      <c r="G6" s="47" t="s">
        <v>107</v>
      </c>
      <c r="H6" s="7" t="s">
        <v>5</v>
      </c>
      <c r="I6" s="8" t="s">
        <v>6</v>
      </c>
      <c r="J6" s="9" t="s">
        <v>7</v>
      </c>
      <c r="K6" s="10" t="s">
        <v>8</v>
      </c>
      <c r="L6" s="11" t="s">
        <v>9</v>
      </c>
      <c r="M6" s="12" t="s">
        <v>10</v>
      </c>
      <c r="N6" s="13" t="s">
        <v>11</v>
      </c>
      <c r="O6" s="14" t="s">
        <v>12</v>
      </c>
    </row>
    <row r="7" spans="1:25" x14ac:dyDescent="0.3">
      <c r="A7" s="18">
        <v>1</v>
      </c>
      <c r="B7" s="16">
        <v>92444</v>
      </c>
      <c r="C7" t="s">
        <v>108</v>
      </c>
      <c r="D7" s="19" t="s">
        <v>75</v>
      </c>
      <c r="E7" s="4">
        <v>1200</v>
      </c>
      <c r="F7">
        <v>4.8099999999999996</v>
      </c>
      <c r="G7">
        <v>95.19</v>
      </c>
      <c r="H7" s="2">
        <v>60.41</v>
      </c>
      <c r="I7" s="2">
        <v>4.51858</v>
      </c>
      <c r="J7" s="2">
        <v>4.2809999999999997</v>
      </c>
      <c r="K7" s="2">
        <v>0</v>
      </c>
      <c r="L7" s="2">
        <v>5.1999999999999998E-2</v>
      </c>
      <c r="M7" s="2">
        <v>5.3019999999999998E-2</v>
      </c>
      <c r="N7" s="2">
        <v>2.5000000000000001E-2</v>
      </c>
      <c r="O7" s="2">
        <v>4.4800000000000004</v>
      </c>
      <c r="Q7">
        <f t="shared" ref="Q7:Q38" si="0">$E7*H7</f>
        <v>72492</v>
      </c>
      <c r="R7">
        <f t="shared" ref="R7:R38" si="1">$E7*I7</f>
        <v>5422.2960000000003</v>
      </c>
      <c r="S7">
        <f t="shared" ref="S7:S38" si="2">$E7*J7</f>
        <v>5137.2</v>
      </c>
      <c r="T7">
        <f t="shared" ref="T7:T38" si="3">$E7*K7</f>
        <v>0</v>
      </c>
      <c r="U7">
        <f t="shared" ref="U7:U38" si="4">$E7*L7</f>
        <v>62.4</v>
      </c>
      <c r="V7">
        <f t="shared" ref="V7:V38" si="5">$E7*M7</f>
        <v>63.623999999999995</v>
      </c>
      <c r="W7">
        <f t="shared" ref="W7:W38" si="6">$E7*N7</f>
        <v>30</v>
      </c>
      <c r="X7">
        <f t="shared" ref="X7:X38" si="7">$E7*O7</f>
        <v>5376.0000000000009</v>
      </c>
    </row>
    <row r="8" spans="1:25" x14ac:dyDescent="0.3">
      <c r="A8" s="18">
        <v>2</v>
      </c>
      <c r="B8" s="16">
        <v>92443</v>
      </c>
      <c r="C8" t="s">
        <v>108</v>
      </c>
      <c r="D8" s="19" t="s">
        <v>76</v>
      </c>
      <c r="E8" s="4">
        <v>300</v>
      </c>
      <c r="F8">
        <v>4.5599999999999996</v>
      </c>
      <c r="G8">
        <v>4.7300000000000004</v>
      </c>
      <c r="H8" s="2">
        <v>64.41</v>
      </c>
      <c r="I8" s="2">
        <v>2.47465</v>
      </c>
      <c r="J8" s="2">
        <v>2.0019999999999998</v>
      </c>
      <c r="K8" s="2">
        <v>0</v>
      </c>
      <c r="L8" s="2">
        <v>2.1999999999999999E-2</v>
      </c>
      <c r="M8" s="2">
        <v>4.6280000000000002E-2</v>
      </c>
      <c r="N8" s="2">
        <v>2.5999999999999999E-2</v>
      </c>
      <c r="O8" s="2">
        <v>3.22</v>
      </c>
      <c r="Q8">
        <f t="shared" si="0"/>
        <v>19323</v>
      </c>
      <c r="R8">
        <f t="shared" si="1"/>
        <v>742.39499999999998</v>
      </c>
      <c r="S8">
        <f t="shared" si="2"/>
        <v>600.59999999999991</v>
      </c>
      <c r="T8">
        <f t="shared" si="3"/>
        <v>0</v>
      </c>
      <c r="U8">
        <f t="shared" si="4"/>
        <v>6.6</v>
      </c>
      <c r="V8">
        <f t="shared" si="5"/>
        <v>13.884</v>
      </c>
      <c r="W8">
        <f t="shared" si="6"/>
        <v>7.8</v>
      </c>
      <c r="X8">
        <f t="shared" si="7"/>
        <v>966.00000000000011</v>
      </c>
    </row>
    <row r="9" spans="1:25" x14ac:dyDescent="0.3">
      <c r="A9" s="18">
        <v>3</v>
      </c>
      <c r="B9" s="16">
        <v>92440</v>
      </c>
      <c r="C9" t="s">
        <v>109</v>
      </c>
      <c r="D9" s="19" t="s">
        <v>75</v>
      </c>
      <c r="E9" s="4">
        <v>1200</v>
      </c>
      <c r="F9">
        <v>4.6399999999999997</v>
      </c>
      <c r="G9">
        <v>95.36</v>
      </c>
      <c r="H9" s="2">
        <v>60.27</v>
      </c>
      <c r="I9" s="2">
        <v>5.0258799999999999</v>
      </c>
      <c r="J9" s="2">
        <v>4.2140000000000004</v>
      </c>
      <c r="K9" s="2">
        <v>0</v>
      </c>
      <c r="L9" s="2">
        <v>7.0999999999999994E-2</v>
      </c>
      <c r="M9" s="2">
        <v>5.4719999999999998E-2</v>
      </c>
      <c r="N9" s="2">
        <v>1.4999999999999999E-2</v>
      </c>
      <c r="O9" s="2">
        <v>4.2300000000000004</v>
      </c>
      <c r="Q9">
        <f t="shared" si="0"/>
        <v>72324</v>
      </c>
      <c r="R9">
        <f t="shared" si="1"/>
        <v>6031.0559999999996</v>
      </c>
      <c r="S9">
        <f t="shared" si="2"/>
        <v>5056.8</v>
      </c>
      <c r="T9">
        <f t="shared" si="3"/>
        <v>0</v>
      </c>
      <c r="U9">
        <f t="shared" si="4"/>
        <v>85.199999999999989</v>
      </c>
      <c r="V9">
        <f t="shared" si="5"/>
        <v>65.664000000000001</v>
      </c>
      <c r="W9">
        <f t="shared" si="6"/>
        <v>18</v>
      </c>
      <c r="X9">
        <f t="shared" si="7"/>
        <v>5076.0000000000009</v>
      </c>
    </row>
    <row r="10" spans="1:25" x14ac:dyDescent="0.3">
      <c r="A10" s="18">
        <v>4</v>
      </c>
      <c r="B10" s="16">
        <v>92439</v>
      </c>
      <c r="C10" t="s">
        <v>110</v>
      </c>
      <c r="D10" s="19" t="s">
        <v>76</v>
      </c>
      <c r="E10" s="4">
        <v>300</v>
      </c>
      <c r="F10">
        <v>4.58</v>
      </c>
      <c r="G10">
        <v>4.88</v>
      </c>
      <c r="H10" s="2">
        <v>61.59</v>
      </c>
      <c r="I10" s="2">
        <v>3.1150600000000002</v>
      </c>
      <c r="J10" s="2">
        <v>4.1459999999999999</v>
      </c>
      <c r="K10" s="2">
        <v>0.03</v>
      </c>
      <c r="L10" s="2">
        <v>4.7E-2</v>
      </c>
      <c r="M10" s="2">
        <v>6.3030000000000003E-2</v>
      </c>
      <c r="N10" s="2">
        <v>0.01</v>
      </c>
      <c r="O10" s="2">
        <v>4.34</v>
      </c>
      <c r="Q10">
        <f t="shared" si="0"/>
        <v>18477</v>
      </c>
      <c r="R10">
        <f t="shared" si="1"/>
        <v>934.51800000000003</v>
      </c>
      <c r="S10">
        <f t="shared" si="2"/>
        <v>1243.8</v>
      </c>
      <c r="T10">
        <f t="shared" si="3"/>
        <v>9</v>
      </c>
      <c r="U10">
        <f t="shared" si="4"/>
        <v>14.1</v>
      </c>
      <c r="V10">
        <f t="shared" si="5"/>
        <v>18.909000000000002</v>
      </c>
      <c r="W10">
        <f t="shared" si="6"/>
        <v>3</v>
      </c>
      <c r="X10">
        <f t="shared" si="7"/>
        <v>1302</v>
      </c>
    </row>
    <row r="11" spans="1:25" x14ac:dyDescent="0.3">
      <c r="A11" s="18">
        <v>5</v>
      </c>
      <c r="B11" s="16">
        <v>90133</v>
      </c>
      <c r="C11" t="s">
        <v>111</v>
      </c>
      <c r="D11" s="19" t="s">
        <v>75</v>
      </c>
      <c r="E11" s="4">
        <v>1200</v>
      </c>
      <c r="F11">
        <v>4.32</v>
      </c>
      <c r="G11">
        <v>95.68</v>
      </c>
      <c r="H11" s="2">
        <v>60.395000000000003</v>
      </c>
      <c r="I11" s="2">
        <v>4.5590000000000002</v>
      </c>
      <c r="J11" s="2">
        <v>3.895</v>
      </c>
      <c r="K11" s="2"/>
      <c r="L11" s="2"/>
      <c r="M11" s="2">
        <v>4.2000000000000003E-2</v>
      </c>
      <c r="N11" s="2"/>
      <c r="O11" s="2">
        <v>4.2699999999999996</v>
      </c>
      <c r="Q11">
        <f t="shared" si="0"/>
        <v>72474</v>
      </c>
      <c r="R11">
        <f t="shared" si="1"/>
        <v>5470.8</v>
      </c>
      <c r="S11">
        <f t="shared" si="2"/>
        <v>4674</v>
      </c>
      <c r="T11">
        <f t="shared" si="3"/>
        <v>0</v>
      </c>
      <c r="U11">
        <f t="shared" si="4"/>
        <v>0</v>
      </c>
      <c r="V11">
        <f t="shared" si="5"/>
        <v>50.400000000000006</v>
      </c>
      <c r="W11">
        <f t="shared" si="6"/>
        <v>0</v>
      </c>
      <c r="X11">
        <f t="shared" si="7"/>
        <v>5123.9999999999991</v>
      </c>
    </row>
    <row r="12" spans="1:25" x14ac:dyDescent="0.3">
      <c r="A12" s="18">
        <v>6</v>
      </c>
      <c r="B12" s="16">
        <v>90132</v>
      </c>
      <c r="C12" t="s">
        <v>111</v>
      </c>
      <c r="D12" s="19" t="s">
        <v>76</v>
      </c>
      <c r="E12" s="4">
        <v>300</v>
      </c>
      <c r="F12">
        <v>4.29</v>
      </c>
      <c r="G12">
        <v>4.8099999999999996</v>
      </c>
      <c r="H12" s="2">
        <v>61.372</v>
      </c>
      <c r="I12" s="2">
        <v>3.18</v>
      </c>
      <c r="J12" s="2">
        <v>2.9359999999999999</v>
      </c>
      <c r="K12" s="2"/>
      <c r="L12" s="2"/>
      <c r="M12" s="2">
        <v>5.0999999999999997E-2</v>
      </c>
      <c r="N12" s="2"/>
      <c r="O12" s="2">
        <v>4.96</v>
      </c>
      <c r="Q12">
        <f t="shared" si="0"/>
        <v>18411.599999999999</v>
      </c>
      <c r="R12">
        <f t="shared" si="1"/>
        <v>954</v>
      </c>
      <c r="S12">
        <f t="shared" si="2"/>
        <v>880.8</v>
      </c>
      <c r="T12">
        <f t="shared" si="3"/>
        <v>0</v>
      </c>
      <c r="U12">
        <f t="shared" si="4"/>
        <v>0</v>
      </c>
      <c r="V12">
        <f t="shared" si="5"/>
        <v>15.299999999999999</v>
      </c>
      <c r="W12">
        <f t="shared" si="6"/>
        <v>0</v>
      </c>
      <c r="X12">
        <f t="shared" si="7"/>
        <v>1488</v>
      </c>
    </row>
    <row r="13" spans="1:25" x14ac:dyDescent="0.3">
      <c r="A13" s="18">
        <v>7</v>
      </c>
      <c r="B13" s="16">
        <v>91349</v>
      </c>
      <c r="C13" t="s">
        <v>112</v>
      </c>
      <c r="D13" s="19" t="s">
        <v>75</v>
      </c>
      <c r="E13" s="4">
        <v>1000</v>
      </c>
      <c r="F13">
        <v>4.8499999999999996</v>
      </c>
      <c r="G13">
        <v>95.15</v>
      </c>
      <c r="H13" s="2">
        <v>60.47</v>
      </c>
      <c r="I13" s="2">
        <v>4.78</v>
      </c>
      <c r="J13" s="2">
        <v>3.8130000000000002</v>
      </c>
      <c r="K13" s="2"/>
      <c r="L13" s="2"/>
      <c r="M13" s="2">
        <v>5.2999999999999999E-2</v>
      </c>
      <c r="N13" s="2"/>
      <c r="O13" s="2">
        <v>4.75</v>
      </c>
      <c r="Q13">
        <f t="shared" si="0"/>
        <v>60470</v>
      </c>
      <c r="R13">
        <f t="shared" si="1"/>
        <v>4780</v>
      </c>
      <c r="S13">
        <f t="shared" si="2"/>
        <v>3813</v>
      </c>
      <c r="T13">
        <f t="shared" si="3"/>
        <v>0</v>
      </c>
      <c r="U13">
        <f t="shared" si="4"/>
        <v>0</v>
      </c>
      <c r="V13">
        <f t="shared" si="5"/>
        <v>53</v>
      </c>
      <c r="W13">
        <f t="shared" si="6"/>
        <v>0</v>
      </c>
      <c r="X13">
        <f t="shared" si="7"/>
        <v>4750</v>
      </c>
    </row>
    <row r="14" spans="1:25" x14ac:dyDescent="0.3">
      <c r="A14" s="18">
        <v>8</v>
      </c>
      <c r="B14" s="16">
        <v>91348</v>
      </c>
      <c r="C14" t="s">
        <v>108</v>
      </c>
      <c r="D14" s="19" t="s">
        <v>75</v>
      </c>
      <c r="E14" s="4">
        <v>1000</v>
      </c>
      <c r="F14">
        <v>4.74</v>
      </c>
      <c r="G14">
        <v>95.26</v>
      </c>
      <c r="H14" s="2">
        <v>61.372</v>
      </c>
      <c r="I14" s="2">
        <v>4.3899999999999997</v>
      </c>
      <c r="J14" s="2">
        <v>2.794</v>
      </c>
      <c r="K14" s="2"/>
      <c r="L14" s="2"/>
      <c r="M14" s="2">
        <v>4.4999999999999998E-2</v>
      </c>
      <c r="N14" s="2"/>
      <c r="O14" s="2">
        <v>4.75</v>
      </c>
      <c r="Q14">
        <f t="shared" si="0"/>
        <v>61372</v>
      </c>
      <c r="R14">
        <f t="shared" si="1"/>
        <v>4390</v>
      </c>
      <c r="S14">
        <f t="shared" si="2"/>
        <v>2794</v>
      </c>
      <c r="T14">
        <f t="shared" si="3"/>
        <v>0</v>
      </c>
      <c r="U14">
        <f t="shared" si="4"/>
        <v>0</v>
      </c>
      <c r="V14">
        <f t="shared" si="5"/>
        <v>45</v>
      </c>
      <c r="W14">
        <f t="shared" si="6"/>
        <v>0</v>
      </c>
      <c r="X14">
        <f t="shared" si="7"/>
        <v>4750</v>
      </c>
    </row>
    <row r="15" spans="1:25" x14ac:dyDescent="0.3">
      <c r="A15" s="18">
        <v>9</v>
      </c>
      <c r="B15" s="16">
        <v>91347</v>
      </c>
      <c r="C15" t="s">
        <v>113</v>
      </c>
      <c r="D15" s="19" t="s">
        <v>76</v>
      </c>
      <c r="E15" s="4">
        <v>500</v>
      </c>
      <c r="F15">
        <v>4.63</v>
      </c>
      <c r="G15">
        <v>4.8099999999999996</v>
      </c>
      <c r="H15" s="2">
        <v>64.305999999999997</v>
      </c>
      <c r="I15" s="2">
        <v>2.2799999999999998</v>
      </c>
      <c r="J15" s="2">
        <v>1.7130000000000001</v>
      </c>
      <c r="K15" s="2"/>
      <c r="L15" s="2"/>
      <c r="M15" s="2">
        <v>3.4000000000000002E-2</v>
      </c>
      <c r="N15" s="2"/>
      <c r="O15" s="2">
        <v>3.91</v>
      </c>
      <c r="Q15">
        <f t="shared" si="0"/>
        <v>32153</v>
      </c>
      <c r="R15">
        <f t="shared" si="1"/>
        <v>1140</v>
      </c>
      <c r="S15">
        <f t="shared" si="2"/>
        <v>856.5</v>
      </c>
      <c r="T15">
        <f t="shared" si="3"/>
        <v>0</v>
      </c>
      <c r="U15">
        <f t="shared" si="4"/>
        <v>0</v>
      </c>
      <c r="V15">
        <f t="shared" si="5"/>
        <v>17</v>
      </c>
      <c r="W15">
        <f t="shared" si="6"/>
        <v>0</v>
      </c>
      <c r="X15">
        <f t="shared" si="7"/>
        <v>1955</v>
      </c>
    </row>
    <row r="16" spans="1:25" x14ac:dyDescent="0.3">
      <c r="A16" s="18">
        <v>10</v>
      </c>
      <c r="B16" s="16">
        <v>91352</v>
      </c>
      <c r="C16" t="s">
        <v>114</v>
      </c>
      <c r="D16" s="19" t="s">
        <v>75</v>
      </c>
      <c r="E16" s="4">
        <v>1400</v>
      </c>
      <c r="F16">
        <v>4.7699999999999996</v>
      </c>
      <c r="G16">
        <v>95.23</v>
      </c>
      <c r="H16" s="2">
        <v>62.500999999999998</v>
      </c>
      <c r="I16" s="2">
        <v>3.56</v>
      </c>
      <c r="J16" s="2">
        <v>2.9769999999999999</v>
      </c>
      <c r="K16" s="2"/>
      <c r="L16" s="2"/>
      <c r="M16" s="2">
        <v>3.1E-2</v>
      </c>
      <c r="N16" s="2"/>
      <c r="O16" s="2">
        <v>3.92</v>
      </c>
      <c r="Q16">
        <f t="shared" si="0"/>
        <v>87501.4</v>
      </c>
      <c r="R16">
        <f t="shared" si="1"/>
        <v>4984</v>
      </c>
      <c r="S16">
        <f t="shared" si="2"/>
        <v>4167.8</v>
      </c>
      <c r="T16">
        <f t="shared" si="3"/>
        <v>0</v>
      </c>
      <c r="U16">
        <f t="shared" si="4"/>
        <v>0</v>
      </c>
      <c r="V16">
        <f t="shared" si="5"/>
        <v>43.4</v>
      </c>
      <c r="W16">
        <f t="shared" si="6"/>
        <v>0</v>
      </c>
      <c r="X16">
        <f t="shared" si="7"/>
        <v>5488</v>
      </c>
      <c r="Y16" t="s">
        <v>130</v>
      </c>
    </row>
    <row r="17" spans="1:25" x14ac:dyDescent="0.3">
      <c r="A17" s="18">
        <v>11</v>
      </c>
      <c r="B17" s="16">
        <v>91351</v>
      </c>
      <c r="C17" t="s">
        <v>111</v>
      </c>
      <c r="D17" s="19" t="s">
        <v>75</v>
      </c>
      <c r="E17" s="4">
        <v>1000</v>
      </c>
      <c r="F17">
        <v>4.6100000000000003</v>
      </c>
      <c r="G17">
        <v>95.39</v>
      </c>
      <c r="H17" s="2">
        <v>62.725999999999999</v>
      </c>
      <c r="I17" s="2">
        <v>3.89</v>
      </c>
      <c r="J17" s="2">
        <v>2.4670000000000001</v>
      </c>
      <c r="K17" s="2"/>
      <c r="L17" s="2"/>
      <c r="M17" s="2">
        <v>4.2000000000000003E-2</v>
      </c>
      <c r="N17" s="2"/>
      <c r="O17" s="2">
        <v>3.86</v>
      </c>
      <c r="Q17">
        <f t="shared" si="0"/>
        <v>62726</v>
      </c>
      <c r="R17">
        <f t="shared" si="1"/>
        <v>3890</v>
      </c>
      <c r="S17">
        <f t="shared" si="2"/>
        <v>2467</v>
      </c>
      <c r="T17">
        <f t="shared" si="3"/>
        <v>0</v>
      </c>
      <c r="U17">
        <f t="shared" si="4"/>
        <v>0</v>
      </c>
      <c r="V17">
        <f t="shared" si="5"/>
        <v>42</v>
      </c>
      <c r="W17">
        <f t="shared" si="6"/>
        <v>0</v>
      </c>
      <c r="X17">
        <f t="shared" si="7"/>
        <v>3860</v>
      </c>
    </row>
    <row r="18" spans="1:25" x14ac:dyDescent="0.3">
      <c r="A18" s="18">
        <v>12</v>
      </c>
      <c r="B18" s="16">
        <v>91350</v>
      </c>
      <c r="C18" t="s">
        <v>111</v>
      </c>
      <c r="D18" s="19" t="s">
        <v>76</v>
      </c>
      <c r="E18" s="4">
        <v>600</v>
      </c>
      <c r="F18">
        <v>4.43</v>
      </c>
      <c r="G18">
        <v>4.7699999999999996</v>
      </c>
      <c r="H18" s="2">
        <v>62.048999999999999</v>
      </c>
      <c r="I18" s="2">
        <v>3.61</v>
      </c>
      <c r="J18" s="2">
        <v>2.9159999999999999</v>
      </c>
      <c r="K18" s="2"/>
      <c r="L18" s="2"/>
      <c r="M18" s="2">
        <v>5.8999999999999997E-2</v>
      </c>
      <c r="N18" s="2"/>
      <c r="O18" s="2">
        <v>4.4400000000000004</v>
      </c>
      <c r="Q18">
        <f t="shared" si="0"/>
        <v>37229.4</v>
      </c>
      <c r="R18">
        <f t="shared" si="1"/>
        <v>2166</v>
      </c>
      <c r="S18">
        <f t="shared" si="2"/>
        <v>1749.6</v>
      </c>
      <c r="T18">
        <f t="shared" si="3"/>
        <v>0</v>
      </c>
      <c r="U18">
        <f t="shared" si="4"/>
        <v>0</v>
      </c>
      <c r="V18">
        <f t="shared" si="5"/>
        <v>35.4</v>
      </c>
      <c r="W18">
        <f t="shared" si="6"/>
        <v>0</v>
      </c>
      <c r="X18">
        <f t="shared" si="7"/>
        <v>2664.0000000000005</v>
      </c>
    </row>
    <row r="19" spans="1:25" x14ac:dyDescent="0.3">
      <c r="A19" s="18">
        <v>13</v>
      </c>
      <c r="B19" s="16">
        <v>90585</v>
      </c>
      <c r="C19" t="s">
        <v>114</v>
      </c>
      <c r="D19" s="3" t="s">
        <v>75</v>
      </c>
      <c r="E19" s="4">
        <v>1400</v>
      </c>
      <c r="F19">
        <v>4.57</v>
      </c>
      <c r="G19">
        <v>95.43</v>
      </c>
      <c r="H19" s="2">
        <v>61.16</v>
      </c>
      <c r="I19" s="2">
        <v>4.4503199999999996</v>
      </c>
      <c r="J19" s="2">
        <v>3.698</v>
      </c>
      <c r="K19" s="2">
        <v>0</v>
      </c>
      <c r="L19" s="2">
        <v>7.3999999999999996E-2</v>
      </c>
      <c r="M19" s="2">
        <v>5.382E-2</v>
      </c>
      <c r="N19" s="2">
        <v>1.7999999999999999E-2</v>
      </c>
      <c r="O19" s="2">
        <v>4</v>
      </c>
      <c r="Q19">
        <f t="shared" si="0"/>
        <v>85624</v>
      </c>
      <c r="R19">
        <f t="shared" si="1"/>
        <v>6230.4479999999994</v>
      </c>
      <c r="S19">
        <f t="shared" si="2"/>
        <v>5177.2</v>
      </c>
      <c r="T19">
        <f t="shared" si="3"/>
        <v>0</v>
      </c>
      <c r="U19">
        <f t="shared" si="4"/>
        <v>103.6</v>
      </c>
      <c r="V19">
        <f t="shared" si="5"/>
        <v>75.347999999999999</v>
      </c>
      <c r="W19">
        <f t="shared" si="6"/>
        <v>25.2</v>
      </c>
      <c r="X19">
        <f t="shared" si="7"/>
        <v>5600</v>
      </c>
    </row>
    <row r="20" spans="1:25" x14ac:dyDescent="0.3">
      <c r="A20" s="18">
        <v>14</v>
      </c>
      <c r="B20" s="16">
        <v>90584</v>
      </c>
      <c r="C20" t="s">
        <v>111</v>
      </c>
      <c r="D20" s="3" t="s">
        <v>75</v>
      </c>
      <c r="E20" s="4">
        <v>1000</v>
      </c>
      <c r="F20">
        <v>4.7699999999999996</v>
      </c>
      <c r="G20">
        <v>95.23</v>
      </c>
      <c r="H20" s="2">
        <v>60.77</v>
      </c>
      <c r="I20" s="2">
        <v>4.7812799999999998</v>
      </c>
      <c r="J20" s="2">
        <v>4.0350000000000001</v>
      </c>
      <c r="K20" s="2">
        <v>0</v>
      </c>
      <c r="L20" s="2">
        <v>7.8E-2</v>
      </c>
      <c r="M20" s="2">
        <v>4.965E-2</v>
      </c>
      <c r="N20" s="2">
        <v>2.5000000000000001E-2</v>
      </c>
      <c r="O20" s="2">
        <v>3.94</v>
      </c>
      <c r="Q20">
        <f t="shared" si="0"/>
        <v>60770</v>
      </c>
      <c r="R20">
        <f t="shared" si="1"/>
        <v>4781.28</v>
      </c>
      <c r="S20">
        <f t="shared" si="2"/>
        <v>4035</v>
      </c>
      <c r="T20">
        <f t="shared" si="3"/>
        <v>0</v>
      </c>
      <c r="U20">
        <f t="shared" si="4"/>
        <v>78</v>
      </c>
      <c r="V20">
        <f t="shared" si="5"/>
        <v>49.65</v>
      </c>
      <c r="W20">
        <f t="shared" si="6"/>
        <v>25</v>
      </c>
      <c r="X20">
        <f t="shared" si="7"/>
        <v>3940</v>
      </c>
    </row>
    <row r="21" spans="1:25" x14ac:dyDescent="0.3">
      <c r="A21" s="18">
        <v>15</v>
      </c>
      <c r="B21" s="16">
        <v>90583</v>
      </c>
      <c r="C21" t="s">
        <v>111</v>
      </c>
      <c r="D21" s="5" t="s">
        <v>76</v>
      </c>
      <c r="E21" s="6">
        <v>600</v>
      </c>
      <c r="F21">
        <v>4.6399999999999997</v>
      </c>
      <c r="G21">
        <v>4.93</v>
      </c>
      <c r="H21" s="2">
        <v>65.05</v>
      </c>
      <c r="I21" s="2">
        <v>1.67397</v>
      </c>
      <c r="J21" s="2">
        <v>1.7589999999999999</v>
      </c>
      <c r="K21" s="2">
        <v>0</v>
      </c>
      <c r="L21" s="2">
        <v>2.1000000000000001E-2</v>
      </c>
      <c r="M21" s="2">
        <v>5.6660000000000002E-2</v>
      </c>
      <c r="N21" s="2">
        <v>1.2999999999999999E-2</v>
      </c>
      <c r="O21" s="2">
        <v>3.31</v>
      </c>
      <c r="Q21">
        <f t="shared" si="0"/>
        <v>39030</v>
      </c>
      <c r="R21">
        <f t="shared" si="1"/>
        <v>1004.3819999999999</v>
      </c>
      <c r="S21">
        <f t="shared" si="2"/>
        <v>1055.3999999999999</v>
      </c>
      <c r="T21">
        <f t="shared" si="3"/>
        <v>0</v>
      </c>
      <c r="U21">
        <f t="shared" si="4"/>
        <v>12.600000000000001</v>
      </c>
      <c r="V21">
        <f t="shared" si="5"/>
        <v>33.996000000000002</v>
      </c>
      <c r="W21">
        <f t="shared" si="6"/>
        <v>7.8</v>
      </c>
      <c r="X21">
        <f t="shared" si="7"/>
        <v>1986</v>
      </c>
    </row>
    <row r="22" spans="1:25" x14ac:dyDescent="0.3">
      <c r="A22" s="18">
        <v>16</v>
      </c>
      <c r="B22" s="16">
        <v>90588</v>
      </c>
      <c r="C22" t="s">
        <v>114</v>
      </c>
      <c r="D22" s="3" t="s">
        <v>75</v>
      </c>
      <c r="E22" s="6">
        <v>1400</v>
      </c>
      <c r="F22">
        <v>4.62</v>
      </c>
      <c r="G22">
        <v>95.38</v>
      </c>
      <c r="H22" s="2">
        <v>60.27</v>
      </c>
      <c r="I22" s="2">
        <v>4.7517899999999997</v>
      </c>
      <c r="J22" s="2">
        <v>4.282</v>
      </c>
      <c r="K22" s="2">
        <v>0</v>
      </c>
      <c r="L22" s="2">
        <v>7.8E-2</v>
      </c>
      <c r="M22" s="2">
        <v>5.5379999999999999E-2</v>
      </c>
      <c r="N22" s="2">
        <v>1.7000000000000001E-2</v>
      </c>
      <c r="O22" s="2">
        <v>4.4400000000000004</v>
      </c>
      <c r="Q22">
        <f t="shared" si="0"/>
        <v>84378</v>
      </c>
      <c r="R22">
        <f t="shared" si="1"/>
        <v>6652.5059999999994</v>
      </c>
      <c r="S22">
        <f t="shared" si="2"/>
        <v>5994.8</v>
      </c>
      <c r="T22">
        <f t="shared" si="3"/>
        <v>0</v>
      </c>
      <c r="U22">
        <f t="shared" si="4"/>
        <v>109.2</v>
      </c>
      <c r="V22">
        <f t="shared" si="5"/>
        <v>77.531999999999996</v>
      </c>
      <c r="W22">
        <f t="shared" si="6"/>
        <v>23.8</v>
      </c>
      <c r="X22">
        <f t="shared" si="7"/>
        <v>6216.0000000000009</v>
      </c>
    </row>
    <row r="23" spans="1:25" x14ac:dyDescent="0.3">
      <c r="A23" s="18">
        <v>17</v>
      </c>
      <c r="B23" s="16">
        <v>90587</v>
      </c>
      <c r="C23" t="s">
        <v>111</v>
      </c>
      <c r="D23" s="3" t="s">
        <v>75</v>
      </c>
      <c r="E23" s="6">
        <v>1000</v>
      </c>
      <c r="F23">
        <v>4.71</v>
      </c>
      <c r="G23">
        <v>95.29</v>
      </c>
      <c r="H23" s="2">
        <v>60.24</v>
      </c>
      <c r="I23" s="2">
        <v>4.8116300000000001</v>
      </c>
      <c r="J23" s="2">
        <v>4.3849999999999998</v>
      </c>
      <c r="K23" s="2">
        <v>0</v>
      </c>
      <c r="L23" s="2">
        <v>7.5999999999999998E-2</v>
      </c>
      <c r="M23" s="2">
        <v>5.6480000000000002E-2</v>
      </c>
      <c r="N23" s="2">
        <v>1.6E-2</v>
      </c>
      <c r="O23" s="2">
        <v>4.33</v>
      </c>
      <c r="Q23">
        <f t="shared" si="0"/>
        <v>60240</v>
      </c>
      <c r="R23">
        <f t="shared" si="1"/>
        <v>4811.63</v>
      </c>
      <c r="S23">
        <f t="shared" si="2"/>
        <v>4385</v>
      </c>
      <c r="T23">
        <f t="shared" si="3"/>
        <v>0</v>
      </c>
      <c r="U23">
        <f t="shared" si="4"/>
        <v>76</v>
      </c>
      <c r="V23">
        <f t="shared" si="5"/>
        <v>56.480000000000004</v>
      </c>
      <c r="W23">
        <f t="shared" si="6"/>
        <v>16</v>
      </c>
      <c r="X23">
        <f t="shared" si="7"/>
        <v>4330</v>
      </c>
    </row>
    <row r="24" spans="1:25" x14ac:dyDescent="0.3">
      <c r="A24" s="18">
        <v>18</v>
      </c>
      <c r="B24" s="16">
        <v>90586</v>
      </c>
      <c r="C24" t="s">
        <v>115</v>
      </c>
      <c r="D24" s="3" t="s">
        <v>76</v>
      </c>
      <c r="E24" s="6">
        <v>600</v>
      </c>
      <c r="F24">
        <v>4.57</v>
      </c>
      <c r="G24">
        <v>4.8099999999999996</v>
      </c>
      <c r="H24" s="2">
        <v>63.47</v>
      </c>
      <c r="I24" s="2">
        <v>2.3587799999999999</v>
      </c>
      <c r="J24" s="2">
        <v>2.6429999999999998</v>
      </c>
      <c r="K24" s="2">
        <v>0</v>
      </c>
      <c r="L24" s="2">
        <v>0.03</v>
      </c>
      <c r="M24" s="2">
        <v>6.3500000000000001E-2</v>
      </c>
      <c r="N24" s="2">
        <v>0.01</v>
      </c>
      <c r="O24" s="2">
        <v>3.94</v>
      </c>
      <c r="Q24">
        <f t="shared" si="0"/>
        <v>38082</v>
      </c>
      <c r="R24">
        <f t="shared" si="1"/>
        <v>1415.268</v>
      </c>
      <c r="S24">
        <f t="shared" si="2"/>
        <v>1585.8</v>
      </c>
      <c r="T24">
        <f t="shared" si="3"/>
        <v>0</v>
      </c>
      <c r="U24">
        <f t="shared" si="4"/>
        <v>18</v>
      </c>
      <c r="V24">
        <f t="shared" si="5"/>
        <v>38.1</v>
      </c>
      <c r="W24">
        <f t="shared" si="6"/>
        <v>6</v>
      </c>
      <c r="X24">
        <f t="shared" si="7"/>
        <v>2364</v>
      </c>
      <c r="Y24" t="s">
        <v>131</v>
      </c>
    </row>
    <row r="25" spans="1:25" x14ac:dyDescent="0.3">
      <c r="A25" s="18">
        <v>19</v>
      </c>
      <c r="B25" s="16">
        <v>90592</v>
      </c>
      <c r="C25" t="s">
        <v>116</v>
      </c>
      <c r="D25" s="5" t="s">
        <v>76</v>
      </c>
      <c r="E25" s="6">
        <v>680</v>
      </c>
      <c r="F25">
        <v>3.66</v>
      </c>
      <c r="G25">
        <v>4.92</v>
      </c>
      <c r="H25" s="2">
        <v>64.510000000000005</v>
      </c>
      <c r="I25" s="2">
        <v>2.0233699999999999</v>
      </c>
      <c r="J25" s="2">
        <v>1.974</v>
      </c>
      <c r="K25" s="2">
        <v>0.17499999999999999</v>
      </c>
      <c r="L25" s="2">
        <v>3.3000000000000002E-2</v>
      </c>
      <c r="M25" s="2">
        <v>5.1950000000000003E-2</v>
      </c>
      <c r="N25" s="2">
        <v>2.1999999999999999E-2</v>
      </c>
      <c r="O25" s="2">
        <v>3.32</v>
      </c>
      <c r="Q25">
        <f t="shared" si="0"/>
        <v>43866.8</v>
      </c>
      <c r="R25">
        <f t="shared" si="1"/>
        <v>1375.8915999999999</v>
      </c>
      <c r="S25">
        <f t="shared" si="2"/>
        <v>1342.32</v>
      </c>
      <c r="T25">
        <f t="shared" si="3"/>
        <v>118.99999999999999</v>
      </c>
      <c r="U25">
        <f t="shared" si="4"/>
        <v>22.44</v>
      </c>
      <c r="V25">
        <f t="shared" si="5"/>
        <v>35.326000000000001</v>
      </c>
      <c r="W25">
        <f t="shared" si="6"/>
        <v>14.959999999999999</v>
      </c>
      <c r="X25">
        <f t="shared" si="7"/>
        <v>2257.6</v>
      </c>
    </row>
    <row r="26" spans="1:25" x14ac:dyDescent="0.3">
      <c r="A26" s="18">
        <v>20</v>
      </c>
      <c r="B26" s="16">
        <v>90591</v>
      </c>
      <c r="C26" t="s">
        <v>117</v>
      </c>
      <c r="D26" s="5" t="s">
        <v>75</v>
      </c>
      <c r="E26" s="6">
        <v>720</v>
      </c>
      <c r="F26">
        <v>4.92</v>
      </c>
      <c r="G26">
        <v>95.08</v>
      </c>
      <c r="H26" s="2">
        <v>59.63</v>
      </c>
      <c r="I26" s="2">
        <v>5.5310100000000002</v>
      </c>
      <c r="J26" s="2">
        <v>4.4109999999999996</v>
      </c>
      <c r="K26" s="2">
        <v>1.2E-2</v>
      </c>
      <c r="L26" s="2">
        <v>8.3000000000000004E-2</v>
      </c>
      <c r="M26" s="2">
        <v>4.9959999999999997E-2</v>
      </c>
      <c r="N26" s="2">
        <v>1.0999999999999999E-2</v>
      </c>
      <c r="O26" s="2">
        <v>4.45</v>
      </c>
      <c r="Q26">
        <f t="shared" si="0"/>
        <v>42933.599999999999</v>
      </c>
      <c r="R26">
        <f t="shared" si="1"/>
        <v>3982.3272000000002</v>
      </c>
      <c r="S26">
        <f t="shared" si="2"/>
        <v>3175.9199999999996</v>
      </c>
      <c r="T26">
        <f t="shared" si="3"/>
        <v>8.64</v>
      </c>
      <c r="U26">
        <f t="shared" si="4"/>
        <v>59.760000000000005</v>
      </c>
      <c r="V26">
        <f t="shared" si="5"/>
        <v>35.971199999999996</v>
      </c>
      <c r="W26">
        <f t="shared" si="6"/>
        <v>7.92</v>
      </c>
      <c r="X26">
        <f t="shared" si="7"/>
        <v>3204</v>
      </c>
    </row>
    <row r="27" spans="1:25" x14ac:dyDescent="0.3">
      <c r="A27" s="18">
        <v>21</v>
      </c>
      <c r="B27" s="16">
        <v>90590</v>
      </c>
      <c r="C27" t="s">
        <v>118</v>
      </c>
      <c r="D27" s="5" t="s">
        <v>75</v>
      </c>
      <c r="E27" s="6">
        <v>1000</v>
      </c>
      <c r="F27">
        <v>4.82</v>
      </c>
      <c r="G27">
        <v>95.18</v>
      </c>
      <c r="H27" s="2">
        <v>59.51</v>
      </c>
      <c r="I27" s="2">
        <v>5.5027200000000001</v>
      </c>
      <c r="J27" s="2">
        <v>4.5570000000000004</v>
      </c>
      <c r="K27" s="2">
        <v>0</v>
      </c>
      <c r="L27" s="2">
        <v>8.5999999999999993E-2</v>
      </c>
      <c r="M27" s="2">
        <v>4.9299999999999997E-2</v>
      </c>
      <c r="N27" s="2">
        <v>1.9E-2</v>
      </c>
      <c r="O27" s="2">
        <v>4.51</v>
      </c>
      <c r="Q27">
        <f t="shared" si="0"/>
        <v>59510</v>
      </c>
      <c r="R27">
        <f t="shared" si="1"/>
        <v>5502.72</v>
      </c>
      <c r="S27">
        <f t="shared" si="2"/>
        <v>4557</v>
      </c>
      <c r="T27">
        <f t="shared" si="3"/>
        <v>0</v>
      </c>
      <c r="U27">
        <f t="shared" si="4"/>
        <v>86</v>
      </c>
      <c r="V27">
        <f t="shared" si="5"/>
        <v>49.3</v>
      </c>
      <c r="W27">
        <f t="shared" si="6"/>
        <v>19</v>
      </c>
      <c r="X27">
        <f t="shared" si="7"/>
        <v>4510</v>
      </c>
    </row>
    <row r="28" spans="1:25" x14ac:dyDescent="0.3">
      <c r="A28" s="18">
        <v>22</v>
      </c>
      <c r="B28" s="16">
        <v>90589</v>
      </c>
      <c r="C28" t="s">
        <v>117</v>
      </c>
      <c r="D28" s="5" t="s">
        <v>75</v>
      </c>
      <c r="E28" s="6">
        <v>1000</v>
      </c>
      <c r="F28">
        <v>4.76</v>
      </c>
      <c r="G28">
        <v>95.24</v>
      </c>
      <c r="H28" s="2">
        <v>60.4</v>
      </c>
      <c r="I28" s="2">
        <v>4.9713700000000003</v>
      </c>
      <c r="J28" s="2">
        <v>4.0439999999999996</v>
      </c>
      <c r="K28" s="2">
        <v>0</v>
      </c>
      <c r="L28" s="2">
        <v>0.08</v>
      </c>
      <c r="M28" s="2">
        <v>4.9349999999999998E-2</v>
      </c>
      <c r="N28" s="2">
        <v>1.0999999999999999E-2</v>
      </c>
      <c r="O28" s="2">
        <v>4.3099999999999996</v>
      </c>
      <c r="Q28">
        <f t="shared" si="0"/>
        <v>60400</v>
      </c>
      <c r="R28">
        <f t="shared" si="1"/>
        <v>4971.37</v>
      </c>
      <c r="S28">
        <f t="shared" si="2"/>
        <v>4043.9999999999995</v>
      </c>
      <c r="T28">
        <f t="shared" si="3"/>
        <v>0</v>
      </c>
      <c r="U28">
        <f t="shared" si="4"/>
        <v>80</v>
      </c>
      <c r="V28">
        <f t="shared" si="5"/>
        <v>49.35</v>
      </c>
      <c r="W28">
        <f t="shared" si="6"/>
        <v>11</v>
      </c>
      <c r="X28">
        <f t="shared" si="7"/>
        <v>4310</v>
      </c>
    </row>
    <row r="29" spans="1:25" x14ac:dyDescent="0.3">
      <c r="A29" s="18">
        <v>23</v>
      </c>
      <c r="B29" s="16">
        <v>90098</v>
      </c>
      <c r="C29" t="s">
        <v>119</v>
      </c>
      <c r="D29" s="5" t="s">
        <v>75</v>
      </c>
      <c r="E29" s="6">
        <v>1400</v>
      </c>
      <c r="F29">
        <v>4.8600000000000003</v>
      </c>
      <c r="G29">
        <v>95.14</v>
      </c>
      <c r="H29" s="2">
        <v>61.89</v>
      </c>
      <c r="I29" s="2">
        <v>4.05016</v>
      </c>
      <c r="J29" s="2">
        <v>3.3740000000000001</v>
      </c>
      <c r="K29" s="2">
        <v>0</v>
      </c>
      <c r="L29" s="2">
        <v>5.8999999999999997E-2</v>
      </c>
      <c r="M29" s="2">
        <v>5.4829999999999997E-2</v>
      </c>
      <c r="N29" s="2">
        <v>2.5000000000000001E-2</v>
      </c>
      <c r="O29" s="2">
        <v>3.71</v>
      </c>
      <c r="Q29">
        <f t="shared" si="0"/>
        <v>86646</v>
      </c>
      <c r="R29">
        <f t="shared" si="1"/>
        <v>5670.2240000000002</v>
      </c>
      <c r="S29">
        <f t="shared" si="2"/>
        <v>4723.6000000000004</v>
      </c>
      <c r="T29">
        <f t="shared" si="3"/>
        <v>0</v>
      </c>
      <c r="U29">
        <f t="shared" si="4"/>
        <v>82.6</v>
      </c>
      <c r="V29">
        <f t="shared" si="5"/>
        <v>76.762</v>
      </c>
      <c r="W29">
        <f t="shared" si="6"/>
        <v>35</v>
      </c>
      <c r="X29">
        <f t="shared" si="7"/>
        <v>5194</v>
      </c>
    </row>
    <row r="30" spans="1:25" x14ac:dyDescent="0.3">
      <c r="A30" s="18">
        <v>24</v>
      </c>
      <c r="B30" s="16">
        <v>90097</v>
      </c>
      <c r="C30" t="s">
        <v>120</v>
      </c>
      <c r="D30" s="5" t="s">
        <v>75</v>
      </c>
      <c r="E30" s="6">
        <v>1000</v>
      </c>
      <c r="F30">
        <v>4.5</v>
      </c>
      <c r="G30">
        <v>95.5</v>
      </c>
      <c r="H30" s="2">
        <v>61.86</v>
      </c>
      <c r="I30" s="2">
        <v>4.0884</v>
      </c>
      <c r="J30" s="2">
        <v>3.4630000000000001</v>
      </c>
      <c r="K30" s="2">
        <v>0</v>
      </c>
      <c r="L30" s="2">
        <v>5.8000000000000003E-2</v>
      </c>
      <c r="M30" s="2">
        <v>5.4600000000000003E-2</v>
      </c>
      <c r="N30" s="2">
        <v>2.3E-2</v>
      </c>
      <c r="O30" s="2">
        <v>3.63</v>
      </c>
      <c r="Q30">
        <f t="shared" si="0"/>
        <v>61860</v>
      </c>
      <c r="R30">
        <f t="shared" si="1"/>
        <v>4088.4</v>
      </c>
      <c r="S30">
        <f t="shared" si="2"/>
        <v>3463</v>
      </c>
      <c r="T30">
        <f t="shared" si="3"/>
        <v>0</v>
      </c>
      <c r="U30">
        <f t="shared" si="4"/>
        <v>58</v>
      </c>
      <c r="V30">
        <f t="shared" si="5"/>
        <v>54.6</v>
      </c>
      <c r="W30">
        <f t="shared" si="6"/>
        <v>23</v>
      </c>
      <c r="X30">
        <f t="shared" si="7"/>
        <v>3630</v>
      </c>
    </row>
    <row r="31" spans="1:25" x14ac:dyDescent="0.3">
      <c r="A31" s="18">
        <v>25</v>
      </c>
      <c r="B31" s="16">
        <v>90096</v>
      </c>
      <c r="C31" t="s">
        <v>120</v>
      </c>
      <c r="D31" s="5" t="s">
        <v>76</v>
      </c>
      <c r="E31" s="6">
        <v>600</v>
      </c>
      <c r="F31">
        <v>4.57</v>
      </c>
      <c r="G31">
        <v>4.83</v>
      </c>
      <c r="H31" s="2">
        <v>65.25</v>
      </c>
      <c r="I31" s="2">
        <v>1.45766</v>
      </c>
      <c r="J31" s="2">
        <v>1.321</v>
      </c>
      <c r="K31" s="2">
        <v>0</v>
      </c>
      <c r="L31" s="2">
        <v>0.02</v>
      </c>
      <c r="M31" s="2">
        <v>6.2379999999999998E-2</v>
      </c>
      <c r="N31" s="2">
        <v>6.0000000000000001E-3</v>
      </c>
      <c r="O31" s="2">
        <v>3.39</v>
      </c>
      <c r="Q31">
        <f t="shared" si="0"/>
        <v>39150</v>
      </c>
      <c r="R31">
        <f t="shared" si="1"/>
        <v>874.596</v>
      </c>
      <c r="S31">
        <f t="shared" si="2"/>
        <v>792.6</v>
      </c>
      <c r="T31">
        <f t="shared" si="3"/>
        <v>0</v>
      </c>
      <c r="U31">
        <f t="shared" si="4"/>
        <v>12</v>
      </c>
      <c r="V31">
        <f t="shared" si="5"/>
        <v>37.427999999999997</v>
      </c>
      <c r="W31">
        <f t="shared" si="6"/>
        <v>3.6</v>
      </c>
      <c r="X31">
        <f t="shared" si="7"/>
        <v>2034</v>
      </c>
    </row>
    <row r="32" spans="1:25" x14ac:dyDescent="0.3">
      <c r="A32" s="18">
        <v>26</v>
      </c>
      <c r="B32" s="16">
        <v>90141</v>
      </c>
      <c r="C32" t="s">
        <v>121</v>
      </c>
      <c r="D32" s="5" t="s">
        <v>75</v>
      </c>
      <c r="E32" s="6">
        <v>560</v>
      </c>
      <c r="F32">
        <v>4.5999999999999996</v>
      </c>
      <c r="G32">
        <v>95.4</v>
      </c>
      <c r="H32" s="2">
        <v>59.63</v>
      </c>
      <c r="I32" s="2">
        <v>5.2808200000000003</v>
      </c>
      <c r="J32" s="2">
        <v>3.706</v>
      </c>
      <c r="K32" s="2">
        <v>1.1299999999999999</v>
      </c>
      <c r="L32" s="2">
        <v>0.105</v>
      </c>
      <c r="M32" s="2">
        <v>5.2780000000000001E-2</v>
      </c>
      <c r="N32" s="2">
        <v>2.1999999999999999E-2</v>
      </c>
      <c r="O32" s="2">
        <v>4.1900000000000004</v>
      </c>
      <c r="Q32">
        <f t="shared" si="0"/>
        <v>33392.800000000003</v>
      </c>
      <c r="R32">
        <f t="shared" si="1"/>
        <v>2957.2592</v>
      </c>
      <c r="S32">
        <f t="shared" si="2"/>
        <v>2075.36</v>
      </c>
      <c r="T32">
        <f t="shared" si="3"/>
        <v>632.79999999999995</v>
      </c>
      <c r="U32">
        <f t="shared" si="4"/>
        <v>58.8</v>
      </c>
      <c r="V32">
        <f t="shared" si="5"/>
        <v>29.556799999999999</v>
      </c>
      <c r="W32">
        <f t="shared" si="6"/>
        <v>12.319999999999999</v>
      </c>
      <c r="X32">
        <f t="shared" si="7"/>
        <v>2346.4</v>
      </c>
    </row>
    <row r="33" spans="1:24" x14ac:dyDescent="0.3">
      <c r="A33" s="18">
        <v>27</v>
      </c>
      <c r="B33" s="16">
        <v>90140</v>
      </c>
      <c r="C33" t="s">
        <v>114</v>
      </c>
      <c r="D33" s="5" t="s">
        <v>75</v>
      </c>
      <c r="E33" s="6">
        <v>1000</v>
      </c>
      <c r="F33">
        <v>4.84</v>
      </c>
      <c r="G33">
        <v>95.16</v>
      </c>
      <c r="H33" s="2">
        <v>60.55</v>
      </c>
      <c r="I33" s="2">
        <v>5.1167100000000003</v>
      </c>
      <c r="J33" s="2">
        <v>3.798</v>
      </c>
      <c r="K33" s="2">
        <v>0</v>
      </c>
      <c r="L33" s="2">
        <v>8.3000000000000004E-2</v>
      </c>
      <c r="M33" s="2">
        <v>5.3319999999999999E-2</v>
      </c>
      <c r="N33" s="2">
        <v>2.1000000000000001E-2</v>
      </c>
      <c r="O33" s="2">
        <v>4.13</v>
      </c>
      <c r="Q33">
        <f t="shared" si="0"/>
        <v>60550</v>
      </c>
      <c r="R33">
        <f t="shared" si="1"/>
        <v>5116.71</v>
      </c>
      <c r="S33">
        <f t="shared" si="2"/>
        <v>3798</v>
      </c>
      <c r="T33">
        <f t="shared" si="3"/>
        <v>0</v>
      </c>
      <c r="U33">
        <f t="shared" si="4"/>
        <v>83</v>
      </c>
      <c r="V33">
        <f t="shared" si="5"/>
        <v>53.32</v>
      </c>
      <c r="W33">
        <f t="shared" si="6"/>
        <v>21</v>
      </c>
      <c r="X33">
        <f t="shared" si="7"/>
        <v>4130</v>
      </c>
    </row>
    <row r="34" spans="1:24" x14ac:dyDescent="0.3">
      <c r="A34" s="18">
        <v>28</v>
      </c>
      <c r="B34" s="16">
        <v>90139</v>
      </c>
      <c r="C34" t="s">
        <v>108</v>
      </c>
      <c r="D34" s="5" t="s">
        <v>75</v>
      </c>
      <c r="E34" s="6">
        <v>1000</v>
      </c>
      <c r="F34">
        <v>4.72</v>
      </c>
      <c r="G34">
        <v>95.28</v>
      </c>
      <c r="H34" s="2">
        <v>59.3</v>
      </c>
      <c r="I34" s="2">
        <v>5.1612900000000002</v>
      </c>
      <c r="J34" s="2">
        <v>3.698</v>
      </c>
      <c r="K34" s="2">
        <v>1.7629999999999999</v>
      </c>
      <c r="L34" s="2">
        <v>0.11899999999999999</v>
      </c>
      <c r="M34" s="2">
        <v>5.1819999999999998E-2</v>
      </c>
      <c r="N34" s="2">
        <v>1.9E-2</v>
      </c>
      <c r="O34" s="2">
        <v>4.16</v>
      </c>
      <c r="Q34">
        <f t="shared" si="0"/>
        <v>59300</v>
      </c>
      <c r="R34">
        <f t="shared" si="1"/>
        <v>5161.29</v>
      </c>
      <c r="S34">
        <f t="shared" si="2"/>
        <v>3698</v>
      </c>
      <c r="T34">
        <f t="shared" si="3"/>
        <v>1763</v>
      </c>
      <c r="U34">
        <f t="shared" si="4"/>
        <v>119</v>
      </c>
      <c r="V34">
        <f t="shared" si="5"/>
        <v>51.82</v>
      </c>
      <c r="W34">
        <f t="shared" si="6"/>
        <v>19</v>
      </c>
      <c r="X34">
        <f t="shared" si="7"/>
        <v>4160</v>
      </c>
    </row>
    <row r="35" spans="1:24" x14ac:dyDescent="0.3">
      <c r="A35" s="18">
        <v>29</v>
      </c>
      <c r="B35" s="16">
        <v>90138</v>
      </c>
      <c r="C35" t="s">
        <v>108</v>
      </c>
      <c r="D35" s="5" t="s">
        <v>76</v>
      </c>
      <c r="E35" s="6">
        <v>640</v>
      </c>
      <c r="F35">
        <v>4.76</v>
      </c>
      <c r="G35">
        <v>4.8899999999999997</v>
      </c>
      <c r="H35" s="2">
        <v>64.040000000000006</v>
      </c>
      <c r="I35" s="2">
        <v>2.1650700000000001</v>
      </c>
      <c r="J35" s="2">
        <v>1.9379999999999999</v>
      </c>
      <c r="K35" s="2">
        <v>0</v>
      </c>
      <c r="L35" s="2">
        <v>1.7999999999999999E-2</v>
      </c>
      <c r="M35" s="2">
        <v>6.9589999999999999E-2</v>
      </c>
      <c r="N35" s="2">
        <v>7.0000000000000001E-3</v>
      </c>
      <c r="O35" s="2">
        <v>3.9</v>
      </c>
      <c r="Q35">
        <f t="shared" si="0"/>
        <v>40985.600000000006</v>
      </c>
      <c r="R35">
        <f t="shared" si="1"/>
        <v>1385.6448</v>
      </c>
      <c r="S35">
        <f t="shared" si="2"/>
        <v>1240.32</v>
      </c>
      <c r="T35">
        <f t="shared" si="3"/>
        <v>0</v>
      </c>
      <c r="U35">
        <f t="shared" si="4"/>
        <v>11.52</v>
      </c>
      <c r="V35">
        <f t="shared" si="5"/>
        <v>44.537599999999998</v>
      </c>
      <c r="W35">
        <f t="shared" si="6"/>
        <v>4.4800000000000004</v>
      </c>
      <c r="X35">
        <f t="shared" si="7"/>
        <v>2496</v>
      </c>
    </row>
    <row r="36" spans="1:24" x14ac:dyDescent="0.3">
      <c r="A36" s="18">
        <v>30</v>
      </c>
      <c r="B36" s="16">
        <v>85939</v>
      </c>
      <c r="C36" t="s">
        <v>114</v>
      </c>
      <c r="D36" s="5" t="s">
        <v>75</v>
      </c>
      <c r="E36" s="6">
        <v>1400</v>
      </c>
      <c r="F36">
        <v>4.75</v>
      </c>
      <c r="G36">
        <v>95.25</v>
      </c>
      <c r="H36" s="2">
        <v>60.05</v>
      </c>
      <c r="I36" s="2">
        <v>4.7732599999999996</v>
      </c>
      <c r="J36" s="2">
        <v>4.1630000000000003</v>
      </c>
      <c r="K36" s="2">
        <v>2.5999999999999999E-2</v>
      </c>
      <c r="L36" s="2">
        <v>6.4000000000000001E-2</v>
      </c>
      <c r="M36" s="2">
        <v>5.7259999999999998E-2</v>
      </c>
      <c r="N36" s="2">
        <v>3.5999999999999997E-2</v>
      </c>
      <c r="O36" s="2">
        <v>4.78</v>
      </c>
      <c r="Q36">
        <f t="shared" si="0"/>
        <v>84070</v>
      </c>
      <c r="R36">
        <f t="shared" si="1"/>
        <v>6682.5639999999994</v>
      </c>
      <c r="S36">
        <f t="shared" si="2"/>
        <v>5828.2000000000007</v>
      </c>
      <c r="T36">
        <f t="shared" si="3"/>
        <v>36.4</v>
      </c>
      <c r="U36">
        <f t="shared" si="4"/>
        <v>89.600000000000009</v>
      </c>
      <c r="V36">
        <f t="shared" si="5"/>
        <v>80.164000000000001</v>
      </c>
      <c r="W36">
        <f t="shared" si="6"/>
        <v>50.4</v>
      </c>
      <c r="X36">
        <f t="shared" si="7"/>
        <v>6692</v>
      </c>
    </row>
    <row r="37" spans="1:24" x14ac:dyDescent="0.3">
      <c r="A37" s="18">
        <v>31</v>
      </c>
      <c r="B37" s="16">
        <v>85938</v>
      </c>
      <c r="C37" t="s">
        <v>108</v>
      </c>
      <c r="D37" s="5" t="s">
        <v>75</v>
      </c>
      <c r="E37" s="6">
        <v>1000</v>
      </c>
      <c r="F37">
        <v>4.91</v>
      </c>
      <c r="G37">
        <v>95.09</v>
      </c>
      <c r="H37" s="2">
        <v>60.17</v>
      </c>
      <c r="I37" s="2">
        <v>4.8107499999999996</v>
      </c>
      <c r="J37" s="2">
        <v>4.1550000000000002</v>
      </c>
      <c r="K37" s="2">
        <v>0</v>
      </c>
      <c r="L37" s="2">
        <v>6.3E-2</v>
      </c>
      <c r="M37" s="2">
        <v>5.8680000000000003E-2</v>
      </c>
      <c r="N37" s="2">
        <v>3.3000000000000002E-2</v>
      </c>
      <c r="O37" s="2">
        <v>4.63</v>
      </c>
      <c r="Q37">
        <f t="shared" si="0"/>
        <v>60170</v>
      </c>
      <c r="R37">
        <f t="shared" si="1"/>
        <v>4810.75</v>
      </c>
      <c r="S37">
        <f t="shared" si="2"/>
        <v>4155</v>
      </c>
      <c r="T37">
        <f t="shared" si="3"/>
        <v>0</v>
      </c>
      <c r="U37">
        <f t="shared" si="4"/>
        <v>63</v>
      </c>
      <c r="V37">
        <f t="shared" si="5"/>
        <v>58.68</v>
      </c>
      <c r="W37">
        <f t="shared" si="6"/>
        <v>33</v>
      </c>
      <c r="X37">
        <f t="shared" si="7"/>
        <v>4630</v>
      </c>
    </row>
    <row r="38" spans="1:24" x14ac:dyDescent="0.3">
      <c r="A38" s="18">
        <v>32</v>
      </c>
      <c r="B38" s="16">
        <v>85937</v>
      </c>
      <c r="C38" t="s">
        <v>108</v>
      </c>
      <c r="D38" s="5" t="s">
        <v>76</v>
      </c>
      <c r="E38" s="6">
        <v>600</v>
      </c>
      <c r="F38">
        <v>4.66</v>
      </c>
      <c r="G38">
        <v>4.79</v>
      </c>
      <c r="H38" s="2">
        <v>63.75</v>
      </c>
      <c r="I38" s="2">
        <v>1.7609699999999999</v>
      </c>
      <c r="J38" s="2">
        <v>2.3220000000000001</v>
      </c>
      <c r="K38" s="2">
        <v>0</v>
      </c>
      <c r="L38" s="2">
        <v>1.9E-2</v>
      </c>
      <c r="M38" s="2">
        <v>7.9269999999999993E-2</v>
      </c>
      <c r="N38" s="2">
        <v>1.0999999999999999E-2</v>
      </c>
      <c r="O38" s="2">
        <v>4.45</v>
      </c>
      <c r="Q38">
        <f t="shared" si="0"/>
        <v>38250</v>
      </c>
      <c r="R38">
        <f t="shared" si="1"/>
        <v>1056.5819999999999</v>
      </c>
      <c r="S38">
        <f t="shared" si="2"/>
        <v>1393.2</v>
      </c>
      <c r="T38">
        <f t="shared" si="3"/>
        <v>0</v>
      </c>
      <c r="U38">
        <f t="shared" si="4"/>
        <v>11.4</v>
      </c>
      <c r="V38">
        <f t="shared" si="5"/>
        <v>47.561999999999998</v>
      </c>
      <c r="W38">
        <f t="shared" si="6"/>
        <v>6.6</v>
      </c>
      <c r="X38">
        <f t="shared" si="7"/>
        <v>2670</v>
      </c>
    </row>
    <row r="39" spans="1:24" x14ac:dyDescent="0.3">
      <c r="A39" s="18">
        <v>33</v>
      </c>
      <c r="B39" s="16">
        <v>85943</v>
      </c>
      <c r="C39" t="s">
        <v>122</v>
      </c>
      <c r="D39" s="5" t="s">
        <v>75</v>
      </c>
      <c r="E39" s="6">
        <v>560</v>
      </c>
      <c r="F39">
        <v>4.93</v>
      </c>
      <c r="G39">
        <v>95.07</v>
      </c>
      <c r="H39" s="2">
        <v>59.08</v>
      </c>
      <c r="I39" s="2">
        <v>4.6930100000000001</v>
      </c>
      <c r="J39" s="2">
        <v>4.2919999999999998</v>
      </c>
      <c r="K39" s="2">
        <v>1.3979999999999999</v>
      </c>
      <c r="L39" s="2">
        <v>8.7999999999999995E-2</v>
      </c>
      <c r="M39" s="2">
        <v>5.6120000000000003E-2</v>
      </c>
      <c r="N39" s="2">
        <v>1.9E-2</v>
      </c>
      <c r="O39" s="2">
        <v>4.76</v>
      </c>
      <c r="Q39">
        <f t="shared" ref="Q39:Q74" si="8">$E39*H39</f>
        <v>33084.799999999996</v>
      </c>
      <c r="R39">
        <f t="shared" ref="R39:R74" si="9">$E39*I39</f>
        <v>2628.0855999999999</v>
      </c>
      <c r="S39">
        <f t="shared" ref="S39:S74" si="10">$E39*J39</f>
        <v>2403.52</v>
      </c>
      <c r="T39">
        <f t="shared" ref="T39:T74" si="11">$E39*K39</f>
        <v>782.88</v>
      </c>
      <c r="U39">
        <f t="shared" ref="U39:U74" si="12">$E39*L39</f>
        <v>49.279999999999994</v>
      </c>
      <c r="V39">
        <f t="shared" ref="V39:V74" si="13">$E39*M39</f>
        <v>31.427200000000003</v>
      </c>
      <c r="W39">
        <f t="shared" ref="W39:W74" si="14">$E39*N39</f>
        <v>10.64</v>
      </c>
      <c r="X39">
        <f t="shared" ref="X39:X74" si="15">$E39*O39</f>
        <v>2665.6</v>
      </c>
    </row>
    <row r="40" spans="1:24" x14ac:dyDescent="0.3">
      <c r="A40" s="18">
        <v>34</v>
      </c>
      <c r="B40" s="16">
        <v>85942</v>
      </c>
      <c r="C40" t="s">
        <v>114</v>
      </c>
      <c r="D40" s="5" t="s">
        <v>75</v>
      </c>
      <c r="E40" s="6">
        <v>1000</v>
      </c>
      <c r="F40">
        <v>4.88</v>
      </c>
      <c r="G40">
        <v>95.12</v>
      </c>
      <c r="H40" s="2">
        <v>59.35</v>
      </c>
      <c r="I40" s="2">
        <v>4.7016200000000001</v>
      </c>
      <c r="J40" s="2">
        <v>4.4340000000000002</v>
      </c>
      <c r="K40" s="2">
        <v>0.94299999999999995</v>
      </c>
      <c r="L40" s="2">
        <v>7.9000000000000001E-2</v>
      </c>
      <c r="M40" s="2">
        <v>5.6759999999999998E-2</v>
      </c>
      <c r="N40" s="2">
        <v>2.3E-2</v>
      </c>
      <c r="O40" s="2">
        <v>4.68</v>
      </c>
      <c r="Q40">
        <f t="shared" si="8"/>
        <v>59350</v>
      </c>
      <c r="R40">
        <f t="shared" si="9"/>
        <v>4701.62</v>
      </c>
      <c r="S40">
        <f t="shared" si="10"/>
        <v>4434</v>
      </c>
      <c r="T40">
        <f t="shared" si="11"/>
        <v>943</v>
      </c>
      <c r="U40">
        <f t="shared" si="12"/>
        <v>79</v>
      </c>
      <c r="V40">
        <f t="shared" si="13"/>
        <v>56.76</v>
      </c>
      <c r="W40">
        <f t="shared" si="14"/>
        <v>23</v>
      </c>
      <c r="X40">
        <f t="shared" si="15"/>
        <v>4680</v>
      </c>
    </row>
    <row r="41" spans="1:24" x14ac:dyDescent="0.3">
      <c r="A41" s="18">
        <v>35</v>
      </c>
      <c r="B41" s="16">
        <v>85941</v>
      </c>
      <c r="C41" t="s">
        <v>113</v>
      </c>
      <c r="D41" s="5" t="s">
        <v>75</v>
      </c>
      <c r="E41" s="6">
        <v>1000</v>
      </c>
      <c r="F41">
        <v>4.7699999999999996</v>
      </c>
      <c r="G41">
        <v>95.23</v>
      </c>
      <c r="H41" s="2">
        <v>59.95</v>
      </c>
      <c r="I41" s="2">
        <v>4.7279799999999996</v>
      </c>
      <c r="J41" s="2">
        <v>4.3250000000000002</v>
      </c>
      <c r="K41" s="2">
        <v>0.16300000000000001</v>
      </c>
      <c r="L41" s="2">
        <v>6.8000000000000005E-2</v>
      </c>
      <c r="M41" s="2">
        <v>5.7660000000000003E-2</v>
      </c>
      <c r="N41" s="2">
        <v>1.7000000000000001E-2</v>
      </c>
      <c r="O41" s="2">
        <v>4.6900000000000004</v>
      </c>
      <c r="Q41">
        <f t="shared" si="8"/>
        <v>59950</v>
      </c>
      <c r="R41">
        <f t="shared" si="9"/>
        <v>4727.9799999999996</v>
      </c>
      <c r="S41">
        <f t="shared" si="10"/>
        <v>4325</v>
      </c>
      <c r="T41">
        <f t="shared" si="11"/>
        <v>163</v>
      </c>
      <c r="U41">
        <f t="shared" si="12"/>
        <v>68</v>
      </c>
      <c r="V41">
        <f t="shared" si="13"/>
        <v>57.660000000000004</v>
      </c>
      <c r="W41">
        <f t="shared" si="14"/>
        <v>17</v>
      </c>
      <c r="X41">
        <f t="shared" si="15"/>
        <v>4690</v>
      </c>
    </row>
    <row r="42" spans="1:24" x14ac:dyDescent="0.3">
      <c r="A42" s="18">
        <v>36</v>
      </c>
      <c r="B42" s="16">
        <v>85940</v>
      </c>
      <c r="C42" t="s">
        <v>113</v>
      </c>
      <c r="D42" s="5" t="s">
        <v>76</v>
      </c>
      <c r="E42" s="6">
        <v>640</v>
      </c>
      <c r="F42">
        <v>4.71</v>
      </c>
      <c r="G42">
        <v>4.83</v>
      </c>
      <c r="H42" s="2">
        <v>64.66</v>
      </c>
      <c r="I42" s="2">
        <v>1.92624</v>
      </c>
      <c r="J42" s="2">
        <v>1.306</v>
      </c>
      <c r="K42" s="2">
        <v>0</v>
      </c>
      <c r="L42" s="2">
        <v>1.2999999999999999E-2</v>
      </c>
      <c r="M42" s="2">
        <v>5.4769999999999999E-2</v>
      </c>
      <c r="N42" s="2">
        <v>3.6999999999999998E-2</v>
      </c>
      <c r="O42" s="2">
        <v>3.95</v>
      </c>
      <c r="Q42">
        <f t="shared" si="8"/>
        <v>41382.399999999994</v>
      </c>
      <c r="R42">
        <f t="shared" si="9"/>
        <v>1232.7936</v>
      </c>
      <c r="S42">
        <f t="shared" si="10"/>
        <v>835.84</v>
      </c>
      <c r="T42">
        <f t="shared" si="11"/>
        <v>0</v>
      </c>
      <c r="U42">
        <f t="shared" si="12"/>
        <v>8.32</v>
      </c>
      <c r="V42">
        <f t="shared" si="13"/>
        <v>35.052799999999998</v>
      </c>
      <c r="W42">
        <f t="shared" si="14"/>
        <v>23.68</v>
      </c>
      <c r="X42">
        <f t="shared" si="15"/>
        <v>2528</v>
      </c>
    </row>
    <row r="43" spans="1:24" x14ac:dyDescent="0.3">
      <c r="A43" s="18">
        <v>37</v>
      </c>
      <c r="B43" s="16">
        <v>83164</v>
      </c>
      <c r="C43" t="s">
        <v>113</v>
      </c>
      <c r="D43" s="5" t="s">
        <v>75</v>
      </c>
      <c r="E43" s="6">
        <v>1000</v>
      </c>
      <c r="F43">
        <v>4.79</v>
      </c>
      <c r="G43">
        <v>95.21</v>
      </c>
      <c r="H43" s="2">
        <v>61.37</v>
      </c>
      <c r="I43" s="2">
        <v>4.3361299999999998</v>
      </c>
      <c r="J43" s="2">
        <v>3.6070000000000002</v>
      </c>
      <c r="K43" s="2">
        <v>0</v>
      </c>
      <c r="L43" s="2">
        <v>6.2E-2</v>
      </c>
      <c r="M43" s="2">
        <v>4.6039999999999998E-2</v>
      </c>
      <c r="N43" s="2">
        <v>2.4E-2</v>
      </c>
      <c r="O43" s="2">
        <v>3.82</v>
      </c>
      <c r="Q43">
        <f t="shared" si="8"/>
        <v>61370</v>
      </c>
      <c r="R43">
        <f t="shared" si="9"/>
        <v>4336.13</v>
      </c>
      <c r="S43">
        <f t="shared" si="10"/>
        <v>3607</v>
      </c>
      <c r="T43">
        <f t="shared" si="11"/>
        <v>0</v>
      </c>
      <c r="U43">
        <f t="shared" si="12"/>
        <v>62</v>
      </c>
      <c r="V43">
        <f t="shared" si="13"/>
        <v>46.04</v>
      </c>
      <c r="W43">
        <f t="shared" si="14"/>
        <v>24</v>
      </c>
      <c r="X43">
        <f t="shared" si="15"/>
        <v>3820</v>
      </c>
    </row>
    <row r="44" spans="1:24" x14ac:dyDescent="0.3">
      <c r="A44" s="18">
        <v>38</v>
      </c>
      <c r="B44" s="16">
        <v>86473</v>
      </c>
      <c r="C44" t="s">
        <v>112</v>
      </c>
      <c r="D44" s="5" t="s">
        <v>75</v>
      </c>
      <c r="E44" s="6">
        <v>1400</v>
      </c>
      <c r="F44">
        <v>4.74</v>
      </c>
      <c r="G44">
        <v>95.26</v>
      </c>
      <c r="H44" s="2">
        <v>61.31</v>
      </c>
      <c r="I44" s="2">
        <v>4.3899400000000002</v>
      </c>
      <c r="J44" s="2">
        <v>3.641</v>
      </c>
      <c r="K44" s="2">
        <v>0</v>
      </c>
      <c r="L44" s="2">
        <v>6.4000000000000001E-2</v>
      </c>
      <c r="M44" s="2">
        <v>4.691E-2</v>
      </c>
      <c r="N44" s="2">
        <v>2.3E-2</v>
      </c>
      <c r="O44" s="2">
        <v>3.8</v>
      </c>
      <c r="Q44">
        <f t="shared" si="8"/>
        <v>85834</v>
      </c>
      <c r="R44">
        <f t="shared" si="9"/>
        <v>6145.9160000000002</v>
      </c>
      <c r="S44">
        <f t="shared" si="10"/>
        <v>5097.3999999999996</v>
      </c>
      <c r="T44">
        <f t="shared" si="11"/>
        <v>0</v>
      </c>
      <c r="U44">
        <f t="shared" si="12"/>
        <v>89.600000000000009</v>
      </c>
      <c r="V44">
        <f t="shared" si="13"/>
        <v>65.674000000000007</v>
      </c>
      <c r="W44">
        <f t="shared" si="14"/>
        <v>32.200000000000003</v>
      </c>
      <c r="X44">
        <f t="shared" si="15"/>
        <v>5320</v>
      </c>
    </row>
    <row r="45" spans="1:24" x14ac:dyDescent="0.3">
      <c r="A45" s="18">
        <v>39</v>
      </c>
      <c r="B45" s="16">
        <v>80550</v>
      </c>
      <c r="C45" t="s">
        <v>113</v>
      </c>
      <c r="D45" s="5" t="s">
        <v>76</v>
      </c>
      <c r="E45" s="6">
        <v>600</v>
      </c>
      <c r="F45">
        <v>4.49</v>
      </c>
      <c r="G45">
        <v>4.8600000000000003</v>
      </c>
      <c r="H45" s="2">
        <v>64.87</v>
      </c>
      <c r="I45" s="2">
        <v>1.7532700000000001</v>
      </c>
      <c r="J45" s="2">
        <v>1.982</v>
      </c>
      <c r="K45" s="2">
        <v>0</v>
      </c>
      <c r="L45" s="2">
        <v>1.7000000000000001E-2</v>
      </c>
      <c r="M45" s="2">
        <v>5.6529999999999997E-2</v>
      </c>
      <c r="N45" s="2">
        <v>1.2999999999999999E-2</v>
      </c>
      <c r="O45" s="2">
        <v>3.29</v>
      </c>
      <c r="Q45">
        <f t="shared" si="8"/>
        <v>38922</v>
      </c>
      <c r="R45">
        <f t="shared" si="9"/>
        <v>1051.962</v>
      </c>
      <c r="S45">
        <f t="shared" si="10"/>
        <v>1189.2</v>
      </c>
      <c r="T45">
        <f t="shared" si="11"/>
        <v>0</v>
      </c>
      <c r="U45">
        <f t="shared" si="12"/>
        <v>10.200000000000001</v>
      </c>
      <c r="V45">
        <f t="shared" si="13"/>
        <v>33.917999999999999</v>
      </c>
      <c r="W45">
        <f t="shared" si="14"/>
        <v>7.8</v>
      </c>
      <c r="X45">
        <f t="shared" si="15"/>
        <v>1974</v>
      </c>
    </row>
    <row r="46" spans="1:24" x14ac:dyDescent="0.3">
      <c r="A46" s="18">
        <v>40</v>
      </c>
      <c r="B46" s="16">
        <v>85949</v>
      </c>
      <c r="C46" t="s">
        <v>123</v>
      </c>
      <c r="D46" s="5" t="s">
        <v>75</v>
      </c>
      <c r="E46" s="6">
        <v>560</v>
      </c>
      <c r="F46">
        <v>4.78</v>
      </c>
      <c r="G46">
        <v>95.22</v>
      </c>
      <c r="H46" s="2">
        <v>60.72</v>
      </c>
      <c r="I46" s="2">
        <v>4.4152699999999996</v>
      </c>
      <c r="J46" s="2">
        <v>3.847</v>
      </c>
      <c r="K46" s="2">
        <v>0</v>
      </c>
      <c r="L46" s="2">
        <v>5.8999999999999997E-2</v>
      </c>
      <c r="M46" s="2">
        <v>5.8869999999999999E-2</v>
      </c>
      <c r="N46" s="2">
        <v>1.6E-2</v>
      </c>
      <c r="O46" s="2">
        <v>4.57</v>
      </c>
      <c r="Q46">
        <f t="shared" si="8"/>
        <v>34003.199999999997</v>
      </c>
      <c r="R46">
        <f t="shared" si="9"/>
        <v>2472.5511999999999</v>
      </c>
      <c r="S46">
        <f t="shared" si="10"/>
        <v>2154.3200000000002</v>
      </c>
      <c r="T46">
        <f t="shared" si="11"/>
        <v>0</v>
      </c>
      <c r="U46">
        <f t="shared" si="12"/>
        <v>33.04</v>
      </c>
      <c r="V46">
        <f t="shared" si="13"/>
        <v>32.967199999999998</v>
      </c>
      <c r="W46">
        <f t="shared" si="14"/>
        <v>8.9600000000000009</v>
      </c>
      <c r="X46">
        <f t="shared" si="15"/>
        <v>2559.2000000000003</v>
      </c>
    </row>
    <row r="47" spans="1:24" x14ac:dyDescent="0.3">
      <c r="A47" s="18">
        <v>41</v>
      </c>
      <c r="B47" s="16">
        <v>85948</v>
      </c>
      <c r="C47" t="s">
        <v>119</v>
      </c>
      <c r="D47" s="5" t="s">
        <v>75</v>
      </c>
      <c r="E47" s="6">
        <v>1000</v>
      </c>
      <c r="F47">
        <v>4.8600000000000003</v>
      </c>
      <c r="G47">
        <v>95.14</v>
      </c>
      <c r="H47" s="2">
        <v>60.89</v>
      </c>
      <c r="I47" s="2">
        <v>4.4382200000000003</v>
      </c>
      <c r="J47" s="2">
        <v>3.5630000000000002</v>
      </c>
      <c r="K47" s="2">
        <v>0</v>
      </c>
      <c r="L47" s="2">
        <v>5.7000000000000002E-2</v>
      </c>
      <c r="M47" s="2">
        <v>5.8360000000000002E-2</v>
      </c>
      <c r="N47" s="2">
        <v>1.6E-2</v>
      </c>
      <c r="O47" s="2">
        <v>4.57</v>
      </c>
      <c r="Q47">
        <f t="shared" si="8"/>
        <v>60890</v>
      </c>
      <c r="R47">
        <f t="shared" si="9"/>
        <v>4438.22</v>
      </c>
      <c r="S47">
        <f t="shared" si="10"/>
        <v>3563</v>
      </c>
      <c r="T47">
        <f t="shared" si="11"/>
        <v>0</v>
      </c>
      <c r="U47">
        <f t="shared" si="12"/>
        <v>57</v>
      </c>
      <c r="V47">
        <f t="shared" si="13"/>
        <v>58.36</v>
      </c>
      <c r="W47">
        <f t="shared" si="14"/>
        <v>16</v>
      </c>
      <c r="X47">
        <f t="shared" si="15"/>
        <v>4570</v>
      </c>
    </row>
    <row r="48" spans="1:24" x14ac:dyDescent="0.3">
      <c r="A48" s="18">
        <v>42</v>
      </c>
      <c r="B48" s="16">
        <v>85947</v>
      </c>
      <c r="C48" t="s">
        <v>108</v>
      </c>
      <c r="D48" s="5" t="s">
        <v>75</v>
      </c>
      <c r="E48" s="6">
        <v>1000</v>
      </c>
      <c r="F48">
        <v>4.66</v>
      </c>
      <c r="G48">
        <v>95.34</v>
      </c>
      <c r="H48" s="2">
        <v>60.62</v>
      </c>
      <c r="I48" s="2">
        <v>4.5429700000000004</v>
      </c>
      <c r="J48" s="2">
        <v>3.7040000000000002</v>
      </c>
      <c r="K48" s="2">
        <v>0</v>
      </c>
      <c r="L48" s="2">
        <v>5.8000000000000003E-2</v>
      </c>
      <c r="M48" s="2">
        <v>5.8270000000000002E-2</v>
      </c>
      <c r="N48" s="2">
        <v>0.02</v>
      </c>
      <c r="O48" s="2">
        <v>4.71</v>
      </c>
      <c r="Q48">
        <f t="shared" si="8"/>
        <v>60620</v>
      </c>
      <c r="R48">
        <f t="shared" si="9"/>
        <v>4542.97</v>
      </c>
      <c r="S48">
        <f t="shared" si="10"/>
        <v>3704</v>
      </c>
      <c r="T48">
        <f t="shared" si="11"/>
        <v>0</v>
      </c>
      <c r="U48">
        <f t="shared" si="12"/>
        <v>58</v>
      </c>
      <c r="V48">
        <f t="shared" si="13"/>
        <v>58.27</v>
      </c>
      <c r="W48">
        <f t="shared" si="14"/>
        <v>20</v>
      </c>
      <c r="X48">
        <f t="shared" si="15"/>
        <v>4710</v>
      </c>
    </row>
    <row r="49" spans="1:24" x14ac:dyDescent="0.3">
      <c r="A49" s="18">
        <v>43</v>
      </c>
      <c r="B49" s="16">
        <v>85946</v>
      </c>
      <c r="C49" t="s">
        <v>113</v>
      </c>
      <c r="D49" s="5" t="s">
        <v>76</v>
      </c>
      <c r="E49" s="6">
        <v>640</v>
      </c>
      <c r="F49">
        <v>4.67</v>
      </c>
      <c r="G49">
        <v>4.88</v>
      </c>
      <c r="H49" s="2">
        <v>64.05</v>
      </c>
      <c r="I49" s="2">
        <v>2.6564100000000002</v>
      </c>
      <c r="J49" s="2">
        <v>1.3340000000000001</v>
      </c>
      <c r="K49" s="2">
        <v>0</v>
      </c>
      <c r="L49" s="2">
        <v>2.4E-2</v>
      </c>
      <c r="M49" s="2">
        <v>5.534E-2</v>
      </c>
      <c r="N49" s="2">
        <v>1.4999999999999999E-2</v>
      </c>
      <c r="O49" s="2">
        <v>3.93</v>
      </c>
      <c r="Q49">
        <f t="shared" si="8"/>
        <v>40992</v>
      </c>
      <c r="R49">
        <f t="shared" si="9"/>
        <v>1700.1024000000002</v>
      </c>
      <c r="S49">
        <f t="shared" si="10"/>
        <v>853.76</v>
      </c>
      <c r="T49">
        <f t="shared" si="11"/>
        <v>0</v>
      </c>
      <c r="U49">
        <f t="shared" si="12"/>
        <v>15.36</v>
      </c>
      <c r="V49">
        <f t="shared" si="13"/>
        <v>35.4176</v>
      </c>
      <c r="W49">
        <f t="shared" si="14"/>
        <v>9.6</v>
      </c>
      <c r="X49">
        <f t="shared" si="15"/>
        <v>2515.2000000000003</v>
      </c>
    </row>
    <row r="50" spans="1:24" x14ac:dyDescent="0.3">
      <c r="A50" s="18">
        <v>44</v>
      </c>
      <c r="B50" s="16">
        <v>86472</v>
      </c>
      <c r="C50" t="s">
        <v>124</v>
      </c>
      <c r="D50" s="5" t="s">
        <v>76</v>
      </c>
      <c r="E50" s="6">
        <v>600</v>
      </c>
      <c r="F50">
        <v>3.67</v>
      </c>
      <c r="G50">
        <v>4.96</v>
      </c>
      <c r="H50" s="2">
        <v>63.62</v>
      </c>
      <c r="I50" s="2">
        <v>2.53043</v>
      </c>
      <c r="J50" s="2">
        <v>2.3119999999999998</v>
      </c>
      <c r="K50" s="2">
        <v>0</v>
      </c>
      <c r="L50" s="2">
        <v>2.3E-2</v>
      </c>
      <c r="M50" s="2">
        <v>5.3319999999999999E-2</v>
      </c>
      <c r="N50" s="2">
        <v>1.9E-2</v>
      </c>
      <c r="O50" s="2">
        <v>3.77</v>
      </c>
      <c r="Q50">
        <f t="shared" si="8"/>
        <v>38172</v>
      </c>
      <c r="R50">
        <f t="shared" si="9"/>
        <v>1518.258</v>
      </c>
      <c r="S50">
        <f t="shared" si="10"/>
        <v>1387.1999999999998</v>
      </c>
      <c r="T50">
        <f t="shared" si="11"/>
        <v>0</v>
      </c>
      <c r="U50">
        <f t="shared" si="12"/>
        <v>13.799999999999999</v>
      </c>
      <c r="V50">
        <f t="shared" si="13"/>
        <v>31.992000000000001</v>
      </c>
      <c r="W50">
        <f t="shared" si="14"/>
        <v>11.4</v>
      </c>
      <c r="X50">
        <f t="shared" si="15"/>
        <v>2262</v>
      </c>
    </row>
    <row r="51" spans="1:24" x14ac:dyDescent="0.3">
      <c r="A51" s="18">
        <v>45</v>
      </c>
      <c r="B51" s="16">
        <v>86471</v>
      </c>
      <c r="C51" t="s">
        <v>125</v>
      </c>
      <c r="D51" s="5" t="s">
        <v>75</v>
      </c>
      <c r="E51" s="6">
        <v>1400</v>
      </c>
      <c r="F51">
        <v>4.92</v>
      </c>
      <c r="G51">
        <v>95.08</v>
      </c>
      <c r="H51" s="2">
        <v>60.35</v>
      </c>
      <c r="I51" s="2">
        <v>4.5502900000000004</v>
      </c>
      <c r="J51" s="2">
        <v>4.0590000000000002</v>
      </c>
      <c r="K51" s="2">
        <v>0</v>
      </c>
      <c r="L51" s="2">
        <v>0.06</v>
      </c>
      <c r="M51" s="2">
        <v>5.7820000000000003E-2</v>
      </c>
      <c r="N51" s="2">
        <v>0.02</v>
      </c>
      <c r="O51" s="2">
        <v>4.74</v>
      </c>
      <c r="Q51">
        <f t="shared" si="8"/>
        <v>84490</v>
      </c>
      <c r="R51">
        <f t="shared" si="9"/>
        <v>6370.4060000000009</v>
      </c>
      <c r="S51">
        <f t="shared" si="10"/>
        <v>5682.6</v>
      </c>
      <c r="T51">
        <f t="shared" si="11"/>
        <v>0</v>
      </c>
      <c r="U51">
        <f t="shared" si="12"/>
        <v>84</v>
      </c>
      <c r="V51">
        <f t="shared" si="13"/>
        <v>80.948000000000008</v>
      </c>
      <c r="W51">
        <f t="shared" si="14"/>
        <v>28</v>
      </c>
      <c r="X51">
        <f t="shared" si="15"/>
        <v>6636</v>
      </c>
    </row>
    <row r="52" spans="1:24" x14ac:dyDescent="0.3">
      <c r="A52" s="18">
        <v>46</v>
      </c>
      <c r="B52" s="16">
        <v>86470</v>
      </c>
      <c r="C52" t="s">
        <v>126</v>
      </c>
      <c r="D52" s="5" t="s">
        <v>75</v>
      </c>
      <c r="E52" s="6">
        <v>1000</v>
      </c>
      <c r="F52">
        <v>4.9000000000000004</v>
      </c>
      <c r="G52">
        <v>95.1</v>
      </c>
      <c r="H52" s="2">
        <v>60.14</v>
      </c>
      <c r="I52" s="2">
        <v>4.6277100000000004</v>
      </c>
      <c r="J52" s="2">
        <v>4.3109999999999999</v>
      </c>
      <c r="K52" s="2">
        <v>0</v>
      </c>
      <c r="L52" s="2">
        <v>0.06</v>
      </c>
      <c r="M52" s="2">
        <v>5.808E-2</v>
      </c>
      <c r="N52" s="2">
        <v>1.7999999999999999E-2</v>
      </c>
      <c r="O52" s="2">
        <v>4.74</v>
      </c>
      <c r="Q52">
        <f t="shared" si="8"/>
        <v>60140</v>
      </c>
      <c r="R52">
        <f t="shared" si="9"/>
        <v>4627.71</v>
      </c>
      <c r="S52">
        <f t="shared" si="10"/>
        <v>4311</v>
      </c>
      <c r="T52">
        <f t="shared" si="11"/>
        <v>0</v>
      </c>
      <c r="U52">
        <f t="shared" si="12"/>
        <v>60</v>
      </c>
      <c r="V52">
        <f t="shared" si="13"/>
        <v>58.08</v>
      </c>
      <c r="W52">
        <f t="shared" si="14"/>
        <v>18</v>
      </c>
      <c r="X52">
        <f t="shared" si="15"/>
        <v>4740</v>
      </c>
    </row>
    <row r="53" spans="1:24" x14ac:dyDescent="0.3">
      <c r="A53" s="18">
        <v>47</v>
      </c>
      <c r="B53" s="16">
        <v>85952</v>
      </c>
      <c r="C53" t="s">
        <v>127</v>
      </c>
      <c r="D53" s="5" t="s">
        <v>76</v>
      </c>
      <c r="E53" s="6">
        <v>600</v>
      </c>
      <c r="F53">
        <v>3.7</v>
      </c>
      <c r="G53">
        <v>4.82</v>
      </c>
      <c r="H53" s="2">
        <v>64.86</v>
      </c>
      <c r="I53" s="2">
        <v>1.7000500000000001</v>
      </c>
      <c r="J53" s="2">
        <v>1.1220000000000001</v>
      </c>
      <c r="K53" s="2">
        <v>0</v>
      </c>
      <c r="L53" s="2">
        <v>2.1999999999999999E-2</v>
      </c>
      <c r="M53" s="2">
        <v>5.1810000000000002E-2</v>
      </c>
      <c r="N53" s="2">
        <v>4.5999999999999999E-2</v>
      </c>
      <c r="O53" s="2">
        <v>3.7</v>
      </c>
      <c r="Q53">
        <f t="shared" si="8"/>
        <v>38916</v>
      </c>
      <c r="R53">
        <f t="shared" si="9"/>
        <v>1020.0300000000001</v>
      </c>
      <c r="S53">
        <f t="shared" si="10"/>
        <v>673.2</v>
      </c>
      <c r="T53">
        <f t="shared" si="11"/>
        <v>0</v>
      </c>
      <c r="U53">
        <f t="shared" si="12"/>
        <v>13.2</v>
      </c>
      <c r="V53">
        <f t="shared" si="13"/>
        <v>31.086000000000002</v>
      </c>
      <c r="W53">
        <f t="shared" si="14"/>
        <v>27.599999999999998</v>
      </c>
      <c r="X53">
        <f t="shared" si="15"/>
        <v>2220</v>
      </c>
    </row>
    <row r="54" spans="1:24" x14ac:dyDescent="0.3">
      <c r="A54" s="18">
        <v>48</v>
      </c>
      <c r="B54" s="16">
        <v>85951</v>
      </c>
      <c r="C54" t="s">
        <v>119</v>
      </c>
      <c r="D54" s="5" t="s">
        <v>75</v>
      </c>
      <c r="E54" s="6">
        <v>1400</v>
      </c>
      <c r="F54">
        <v>4.6900000000000004</v>
      </c>
      <c r="G54">
        <v>95.31</v>
      </c>
      <c r="H54" s="2">
        <v>62.48</v>
      </c>
      <c r="I54" s="2">
        <v>3.8854000000000002</v>
      </c>
      <c r="J54" s="2">
        <v>2.6040000000000001</v>
      </c>
      <c r="K54" s="2">
        <v>0</v>
      </c>
      <c r="L54" s="2">
        <v>4.8000000000000001E-2</v>
      </c>
      <c r="M54" s="2">
        <v>4.7649999999999998E-2</v>
      </c>
      <c r="N54" s="2">
        <v>3.6999999999999998E-2</v>
      </c>
      <c r="O54" s="2">
        <v>3.8</v>
      </c>
      <c r="Q54">
        <f t="shared" si="8"/>
        <v>87472</v>
      </c>
      <c r="R54">
        <f t="shared" si="9"/>
        <v>5439.56</v>
      </c>
      <c r="S54">
        <f t="shared" si="10"/>
        <v>3645.6</v>
      </c>
      <c r="T54">
        <f t="shared" si="11"/>
        <v>0</v>
      </c>
      <c r="U54">
        <f t="shared" si="12"/>
        <v>67.2</v>
      </c>
      <c r="V54">
        <f t="shared" si="13"/>
        <v>66.709999999999994</v>
      </c>
      <c r="W54">
        <f t="shared" si="14"/>
        <v>51.8</v>
      </c>
      <c r="X54">
        <f t="shared" si="15"/>
        <v>5320</v>
      </c>
    </row>
    <row r="55" spans="1:24" x14ac:dyDescent="0.3">
      <c r="A55" s="18">
        <v>49</v>
      </c>
      <c r="B55" s="16">
        <v>85950</v>
      </c>
      <c r="C55" t="s">
        <v>127</v>
      </c>
      <c r="D55" s="5" t="s">
        <v>75</v>
      </c>
      <c r="E55" s="6">
        <v>1000</v>
      </c>
      <c r="F55">
        <v>4.78</v>
      </c>
      <c r="G55">
        <v>95.22</v>
      </c>
      <c r="H55" s="2">
        <v>62.43</v>
      </c>
      <c r="I55" s="2">
        <v>3.9959500000000001</v>
      </c>
      <c r="J55" s="2">
        <v>2.6459999999999999</v>
      </c>
      <c r="K55" s="2">
        <v>0</v>
      </c>
      <c r="L55" s="2">
        <v>0.05</v>
      </c>
      <c r="M55" s="2">
        <v>4.87E-2</v>
      </c>
      <c r="N55" s="2">
        <v>4.3999999999999997E-2</v>
      </c>
      <c r="O55" s="2">
        <v>3.72</v>
      </c>
      <c r="Q55">
        <f t="shared" si="8"/>
        <v>62430</v>
      </c>
      <c r="R55">
        <f t="shared" si="9"/>
        <v>3995.9500000000003</v>
      </c>
      <c r="S55">
        <f t="shared" si="10"/>
        <v>2646</v>
      </c>
      <c r="T55">
        <f t="shared" si="11"/>
        <v>0</v>
      </c>
      <c r="U55">
        <f t="shared" si="12"/>
        <v>50</v>
      </c>
      <c r="V55">
        <f t="shared" si="13"/>
        <v>48.7</v>
      </c>
      <c r="W55">
        <f t="shared" si="14"/>
        <v>44</v>
      </c>
      <c r="X55">
        <f t="shared" si="15"/>
        <v>3720</v>
      </c>
    </row>
    <row r="56" spans="1:24" x14ac:dyDescent="0.3">
      <c r="A56" s="18">
        <v>50</v>
      </c>
      <c r="B56" s="16">
        <v>85957</v>
      </c>
      <c r="C56" t="s">
        <v>119</v>
      </c>
      <c r="D56" s="5" t="s">
        <v>75</v>
      </c>
      <c r="E56" s="6">
        <v>1400</v>
      </c>
      <c r="F56">
        <v>4.8899999999999997</v>
      </c>
      <c r="G56">
        <v>95.11</v>
      </c>
      <c r="H56" s="2">
        <v>60.67</v>
      </c>
      <c r="I56" s="2">
        <v>4.9371799999999997</v>
      </c>
      <c r="J56" s="2">
        <v>3.6419999999999999</v>
      </c>
      <c r="K56" s="2">
        <v>0</v>
      </c>
      <c r="L56" s="2">
        <v>6.8000000000000005E-2</v>
      </c>
      <c r="M56" s="2">
        <v>5.3249999999999999E-2</v>
      </c>
      <c r="N56" s="2">
        <v>0.03</v>
      </c>
      <c r="O56" s="2">
        <v>4.24</v>
      </c>
      <c r="Q56">
        <f t="shared" si="8"/>
        <v>84938</v>
      </c>
      <c r="R56">
        <f t="shared" si="9"/>
        <v>6912.0519999999997</v>
      </c>
      <c r="S56">
        <f t="shared" si="10"/>
        <v>5098.8</v>
      </c>
      <c r="T56">
        <f t="shared" si="11"/>
        <v>0</v>
      </c>
      <c r="U56">
        <f t="shared" si="12"/>
        <v>95.2</v>
      </c>
      <c r="V56">
        <f t="shared" si="13"/>
        <v>74.55</v>
      </c>
      <c r="W56">
        <f t="shared" si="14"/>
        <v>42</v>
      </c>
      <c r="X56">
        <f t="shared" si="15"/>
        <v>5936</v>
      </c>
    </row>
    <row r="57" spans="1:24" x14ac:dyDescent="0.3">
      <c r="A57" s="18">
        <v>51</v>
      </c>
      <c r="B57" s="16">
        <v>85956</v>
      </c>
      <c r="C57" t="s">
        <v>108</v>
      </c>
      <c r="D57" s="5" t="s">
        <v>75</v>
      </c>
      <c r="E57" s="6">
        <v>1000</v>
      </c>
      <c r="F57">
        <v>4.71</v>
      </c>
      <c r="G57">
        <v>95.29</v>
      </c>
      <c r="H57" s="2">
        <v>61.09</v>
      </c>
      <c r="I57" s="2">
        <v>4.9152300000000002</v>
      </c>
      <c r="J57" s="2">
        <v>3.379</v>
      </c>
      <c r="K57" s="2">
        <v>0</v>
      </c>
      <c r="L57" s="2">
        <v>6.0999999999999999E-2</v>
      </c>
      <c r="M57" s="2">
        <v>5.0950000000000002E-2</v>
      </c>
      <c r="N57" s="2">
        <v>2.1999999999999999E-2</v>
      </c>
      <c r="O57" s="2">
        <v>4</v>
      </c>
      <c r="Q57">
        <f t="shared" si="8"/>
        <v>61090</v>
      </c>
      <c r="R57">
        <f t="shared" si="9"/>
        <v>4915.2300000000005</v>
      </c>
      <c r="S57">
        <f t="shared" si="10"/>
        <v>3379</v>
      </c>
      <c r="T57">
        <f t="shared" si="11"/>
        <v>0</v>
      </c>
      <c r="U57">
        <f t="shared" si="12"/>
        <v>61</v>
      </c>
      <c r="V57">
        <f t="shared" si="13"/>
        <v>50.95</v>
      </c>
      <c r="W57">
        <f t="shared" si="14"/>
        <v>22</v>
      </c>
      <c r="X57">
        <f t="shared" si="15"/>
        <v>4000</v>
      </c>
    </row>
    <row r="58" spans="1:24" x14ac:dyDescent="0.3">
      <c r="A58" s="18">
        <v>52</v>
      </c>
      <c r="B58" s="16">
        <v>85955</v>
      </c>
      <c r="C58" t="s">
        <v>108</v>
      </c>
      <c r="D58" s="5" t="s">
        <v>76</v>
      </c>
      <c r="E58" s="6">
        <v>600</v>
      </c>
      <c r="F58">
        <v>4.6399999999999997</v>
      </c>
      <c r="G58">
        <v>5.01</v>
      </c>
      <c r="H58" s="2">
        <v>64.02</v>
      </c>
      <c r="I58" s="2">
        <v>1.7802800000000001</v>
      </c>
      <c r="J58" s="2">
        <v>1.282</v>
      </c>
      <c r="K58" s="2">
        <v>0.72299999999999998</v>
      </c>
      <c r="L58" s="2">
        <v>4.2000000000000003E-2</v>
      </c>
      <c r="M58" s="2">
        <v>4.5839999999999999E-2</v>
      </c>
      <c r="N58" s="2">
        <v>0.318</v>
      </c>
      <c r="O58" s="2">
        <v>3.54</v>
      </c>
      <c r="Q58">
        <f t="shared" si="8"/>
        <v>38412</v>
      </c>
      <c r="R58">
        <f t="shared" si="9"/>
        <v>1068.1680000000001</v>
      </c>
      <c r="S58">
        <f t="shared" si="10"/>
        <v>769.2</v>
      </c>
      <c r="T58">
        <f t="shared" si="11"/>
        <v>433.8</v>
      </c>
      <c r="U58">
        <f t="shared" si="12"/>
        <v>25.200000000000003</v>
      </c>
      <c r="V58">
        <f t="shared" si="13"/>
        <v>27.503999999999998</v>
      </c>
      <c r="W58">
        <f t="shared" si="14"/>
        <v>190.8</v>
      </c>
      <c r="X58">
        <f t="shared" si="15"/>
        <v>2124</v>
      </c>
    </row>
    <row r="59" spans="1:24" x14ac:dyDescent="0.3">
      <c r="A59" s="18">
        <v>53</v>
      </c>
      <c r="B59" s="16">
        <v>85960</v>
      </c>
      <c r="C59" t="s">
        <v>119</v>
      </c>
      <c r="D59" s="5" t="s">
        <v>75</v>
      </c>
      <c r="E59" s="6">
        <v>1400</v>
      </c>
      <c r="F59">
        <v>4.7300000000000004</v>
      </c>
      <c r="G59">
        <v>95.27</v>
      </c>
      <c r="H59" s="2">
        <v>60.52</v>
      </c>
      <c r="I59" s="2">
        <v>5.11869</v>
      </c>
      <c r="J59" s="2">
        <v>3.73</v>
      </c>
      <c r="K59" s="2">
        <v>0</v>
      </c>
      <c r="L59" s="2">
        <v>7.2999999999999995E-2</v>
      </c>
      <c r="M59" s="2">
        <v>4.6289999999999998E-2</v>
      </c>
      <c r="N59" s="2">
        <v>2.1999999999999999E-2</v>
      </c>
      <c r="O59" s="2">
        <v>4.24</v>
      </c>
      <c r="Q59">
        <f t="shared" si="8"/>
        <v>84728</v>
      </c>
      <c r="R59">
        <f t="shared" si="9"/>
        <v>7166.1660000000002</v>
      </c>
      <c r="S59">
        <f t="shared" si="10"/>
        <v>5222</v>
      </c>
      <c r="T59">
        <f t="shared" si="11"/>
        <v>0</v>
      </c>
      <c r="U59">
        <f t="shared" si="12"/>
        <v>102.19999999999999</v>
      </c>
      <c r="V59">
        <f t="shared" si="13"/>
        <v>64.805999999999997</v>
      </c>
      <c r="W59">
        <f t="shared" si="14"/>
        <v>30.799999999999997</v>
      </c>
      <c r="X59">
        <f t="shared" si="15"/>
        <v>5936</v>
      </c>
    </row>
    <row r="60" spans="1:24" x14ac:dyDescent="0.3">
      <c r="A60" s="18">
        <v>54</v>
      </c>
      <c r="B60" s="16">
        <v>85959</v>
      </c>
      <c r="C60" t="s">
        <v>120</v>
      </c>
      <c r="D60" s="5" t="s">
        <v>75</v>
      </c>
      <c r="E60" s="6">
        <v>1000</v>
      </c>
      <c r="F60">
        <v>4.66</v>
      </c>
      <c r="G60">
        <v>95.34</v>
      </c>
      <c r="H60" s="2">
        <v>60.81</v>
      </c>
      <c r="I60" s="2">
        <v>4.8789699999999998</v>
      </c>
      <c r="J60" s="2">
        <v>3.577</v>
      </c>
      <c r="K60" s="2">
        <v>0</v>
      </c>
      <c r="L60" s="2">
        <v>6.9000000000000006E-2</v>
      </c>
      <c r="M60" s="2">
        <v>4.5769999999999998E-2</v>
      </c>
      <c r="N60" s="2">
        <v>4.3999999999999997E-2</v>
      </c>
      <c r="O60" s="2">
        <v>4.21</v>
      </c>
      <c r="Q60">
        <f t="shared" si="8"/>
        <v>60810</v>
      </c>
      <c r="R60">
        <f t="shared" si="9"/>
        <v>4878.97</v>
      </c>
      <c r="S60">
        <f t="shared" si="10"/>
        <v>3577</v>
      </c>
      <c r="T60">
        <f t="shared" si="11"/>
        <v>0</v>
      </c>
      <c r="U60">
        <f t="shared" si="12"/>
        <v>69</v>
      </c>
      <c r="V60">
        <f t="shared" si="13"/>
        <v>45.769999999999996</v>
      </c>
      <c r="W60">
        <f t="shared" si="14"/>
        <v>44</v>
      </c>
      <c r="X60">
        <f t="shared" si="15"/>
        <v>4210</v>
      </c>
    </row>
    <row r="61" spans="1:24" x14ac:dyDescent="0.3">
      <c r="A61" s="18">
        <v>55</v>
      </c>
      <c r="B61" s="16">
        <v>85958</v>
      </c>
      <c r="C61" t="s">
        <v>120</v>
      </c>
      <c r="D61" s="5" t="s">
        <v>76</v>
      </c>
      <c r="E61" s="6">
        <v>600</v>
      </c>
      <c r="F61">
        <v>4.59</v>
      </c>
      <c r="G61">
        <v>4.91</v>
      </c>
      <c r="H61" s="2">
        <v>63.92</v>
      </c>
      <c r="I61" s="2">
        <v>2.6552600000000002</v>
      </c>
      <c r="J61" s="2">
        <v>2.202</v>
      </c>
      <c r="K61" s="2">
        <v>0</v>
      </c>
      <c r="L61" s="2">
        <v>2.5999999999999999E-2</v>
      </c>
      <c r="M61" s="2">
        <v>4.6780000000000002E-2</v>
      </c>
      <c r="N61" s="2">
        <v>5.3999999999999999E-2</v>
      </c>
      <c r="O61" s="2">
        <v>3.5</v>
      </c>
      <c r="Q61">
        <f t="shared" si="8"/>
        <v>38352</v>
      </c>
      <c r="R61">
        <f t="shared" si="9"/>
        <v>1593.1560000000002</v>
      </c>
      <c r="S61">
        <f t="shared" si="10"/>
        <v>1321.2</v>
      </c>
      <c r="T61">
        <f t="shared" si="11"/>
        <v>0</v>
      </c>
      <c r="U61">
        <f t="shared" si="12"/>
        <v>15.6</v>
      </c>
      <c r="V61">
        <f t="shared" si="13"/>
        <v>28.068000000000001</v>
      </c>
      <c r="W61">
        <f t="shared" si="14"/>
        <v>32.4</v>
      </c>
      <c r="X61">
        <f t="shared" si="15"/>
        <v>2100</v>
      </c>
    </row>
    <row r="62" spans="1:24" x14ac:dyDescent="0.3">
      <c r="A62" s="18">
        <v>56</v>
      </c>
      <c r="B62" s="16">
        <v>86477</v>
      </c>
      <c r="C62" t="s">
        <v>123</v>
      </c>
      <c r="D62" s="5" t="s">
        <v>75</v>
      </c>
      <c r="E62" s="6">
        <v>800</v>
      </c>
      <c r="F62">
        <v>4.82</v>
      </c>
      <c r="G62">
        <v>95.18</v>
      </c>
      <c r="H62" s="2">
        <v>59.15</v>
      </c>
      <c r="I62" s="2">
        <v>6.5091299999999999</v>
      </c>
      <c r="J62" s="2">
        <v>4.2149999999999999</v>
      </c>
      <c r="K62" s="2">
        <v>8.0000000000000002E-3</v>
      </c>
      <c r="L62" s="2">
        <v>7.1999999999999995E-2</v>
      </c>
      <c r="M62" s="2">
        <v>4.6870000000000002E-2</v>
      </c>
      <c r="N62" s="2">
        <v>2.8000000000000001E-2</v>
      </c>
      <c r="O62" s="2">
        <v>4.28</v>
      </c>
      <c r="Q62">
        <f t="shared" si="8"/>
        <v>47320</v>
      </c>
      <c r="R62">
        <f t="shared" si="9"/>
        <v>5207.3040000000001</v>
      </c>
      <c r="S62">
        <f t="shared" si="10"/>
        <v>3372</v>
      </c>
      <c r="T62">
        <f t="shared" si="11"/>
        <v>6.4</v>
      </c>
      <c r="U62">
        <f t="shared" si="12"/>
        <v>57.599999999999994</v>
      </c>
      <c r="V62">
        <f t="shared" si="13"/>
        <v>37.496000000000002</v>
      </c>
      <c r="W62">
        <f t="shared" si="14"/>
        <v>22.400000000000002</v>
      </c>
      <c r="X62">
        <f t="shared" si="15"/>
        <v>3424</v>
      </c>
    </row>
    <row r="63" spans="1:24" x14ac:dyDescent="0.3">
      <c r="A63" s="18">
        <v>57</v>
      </c>
      <c r="B63" s="16">
        <v>86476</v>
      </c>
      <c r="C63" t="s">
        <v>119</v>
      </c>
      <c r="D63" s="5" t="s">
        <v>75</v>
      </c>
      <c r="E63" s="6">
        <v>1000</v>
      </c>
      <c r="F63">
        <v>4.88</v>
      </c>
      <c r="G63">
        <v>95.12</v>
      </c>
      <c r="H63" s="2">
        <v>59.43</v>
      </c>
      <c r="I63" s="2">
        <v>6.4749499999999998</v>
      </c>
      <c r="J63" s="2">
        <v>4.0049999999999999</v>
      </c>
      <c r="K63" s="2">
        <v>0</v>
      </c>
      <c r="L63" s="2">
        <v>7.2999999999999995E-2</v>
      </c>
      <c r="M63" s="2">
        <v>4.614E-2</v>
      </c>
      <c r="N63" s="2">
        <v>2.5999999999999999E-2</v>
      </c>
      <c r="O63" s="2">
        <v>4.12</v>
      </c>
      <c r="Q63">
        <f t="shared" si="8"/>
        <v>59430</v>
      </c>
      <c r="R63">
        <f t="shared" si="9"/>
        <v>6474.95</v>
      </c>
      <c r="S63">
        <f t="shared" si="10"/>
        <v>4005</v>
      </c>
      <c r="T63">
        <f t="shared" si="11"/>
        <v>0</v>
      </c>
      <c r="U63">
        <f t="shared" si="12"/>
        <v>73</v>
      </c>
      <c r="V63">
        <f t="shared" si="13"/>
        <v>46.14</v>
      </c>
      <c r="W63">
        <f t="shared" si="14"/>
        <v>26</v>
      </c>
      <c r="X63">
        <f t="shared" si="15"/>
        <v>4120</v>
      </c>
    </row>
    <row r="64" spans="1:24" x14ac:dyDescent="0.3">
      <c r="A64" s="18">
        <v>58</v>
      </c>
      <c r="B64" s="16">
        <v>86475</v>
      </c>
      <c r="C64" t="s">
        <v>120</v>
      </c>
      <c r="D64" s="5" t="s">
        <v>75</v>
      </c>
      <c r="E64" s="6">
        <v>1000</v>
      </c>
      <c r="F64">
        <v>4.76</v>
      </c>
      <c r="G64">
        <v>95.24</v>
      </c>
      <c r="H64" s="2">
        <v>59.07</v>
      </c>
      <c r="I64" s="2">
        <v>6.6614399999999998</v>
      </c>
      <c r="J64" s="2">
        <v>4.1070000000000002</v>
      </c>
      <c r="K64" s="2">
        <v>0</v>
      </c>
      <c r="L64" s="2">
        <v>7.2999999999999995E-2</v>
      </c>
      <c r="M64" s="2">
        <v>4.6739999999999997E-2</v>
      </c>
      <c r="N64" s="2">
        <v>2.7E-2</v>
      </c>
      <c r="O64" s="2">
        <v>4.3099999999999996</v>
      </c>
      <c r="Q64">
        <f t="shared" si="8"/>
        <v>59070</v>
      </c>
      <c r="R64">
        <f t="shared" si="9"/>
        <v>6661.44</v>
      </c>
      <c r="S64">
        <f t="shared" si="10"/>
        <v>4107</v>
      </c>
      <c r="T64">
        <f t="shared" si="11"/>
        <v>0</v>
      </c>
      <c r="U64">
        <f t="shared" si="12"/>
        <v>73</v>
      </c>
      <c r="V64">
        <f t="shared" si="13"/>
        <v>46.739999999999995</v>
      </c>
      <c r="W64">
        <f t="shared" si="14"/>
        <v>27</v>
      </c>
      <c r="X64">
        <f t="shared" si="15"/>
        <v>4310</v>
      </c>
    </row>
    <row r="65" spans="1:24" x14ac:dyDescent="0.3">
      <c r="A65" s="18">
        <v>59</v>
      </c>
      <c r="B65" s="16">
        <v>86474</v>
      </c>
      <c r="C65" t="s">
        <v>120</v>
      </c>
      <c r="D65" s="5" t="s">
        <v>76</v>
      </c>
      <c r="E65" s="6">
        <v>700</v>
      </c>
      <c r="F65">
        <v>4.3499999999999996</v>
      </c>
      <c r="G65">
        <v>5.0599999999999996</v>
      </c>
      <c r="H65" s="2">
        <v>63.44</v>
      </c>
      <c r="I65" s="2">
        <v>3.2344200000000001</v>
      </c>
      <c r="J65" s="2">
        <v>1.8540000000000001</v>
      </c>
      <c r="K65" s="2">
        <v>0</v>
      </c>
      <c r="L65" s="2">
        <v>0.03</v>
      </c>
      <c r="M65" s="2">
        <v>5.6739999999999999E-2</v>
      </c>
      <c r="N65" s="2">
        <v>1.4999999999999999E-2</v>
      </c>
      <c r="O65" s="2">
        <v>3.78</v>
      </c>
      <c r="Q65">
        <f t="shared" si="8"/>
        <v>44408</v>
      </c>
      <c r="R65">
        <f t="shared" si="9"/>
        <v>2264.0940000000001</v>
      </c>
      <c r="S65">
        <f t="shared" si="10"/>
        <v>1297.8</v>
      </c>
      <c r="T65">
        <f t="shared" si="11"/>
        <v>0</v>
      </c>
      <c r="U65">
        <f t="shared" si="12"/>
        <v>21</v>
      </c>
      <c r="V65">
        <f t="shared" si="13"/>
        <v>39.717999999999996</v>
      </c>
      <c r="W65">
        <f t="shared" si="14"/>
        <v>10.5</v>
      </c>
      <c r="X65">
        <f t="shared" si="15"/>
        <v>2646</v>
      </c>
    </row>
    <row r="66" spans="1:24" x14ac:dyDescent="0.3">
      <c r="A66" s="18">
        <v>60</v>
      </c>
      <c r="B66" s="16">
        <v>86480</v>
      </c>
      <c r="C66" t="s">
        <v>119</v>
      </c>
      <c r="D66" s="5" t="s">
        <v>75</v>
      </c>
      <c r="E66" s="6">
        <v>1400</v>
      </c>
      <c r="F66">
        <v>4.7699999999999996</v>
      </c>
      <c r="G66">
        <v>95.23</v>
      </c>
      <c r="H66" s="2">
        <v>61.06</v>
      </c>
      <c r="I66" s="2">
        <v>5.1468800000000003</v>
      </c>
      <c r="J66" s="2">
        <v>3.6040000000000001</v>
      </c>
      <c r="K66" s="2">
        <v>0</v>
      </c>
      <c r="L66" s="2">
        <v>7.0999999999999994E-2</v>
      </c>
      <c r="M66" s="2">
        <v>4.1520000000000001E-2</v>
      </c>
      <c r="N66" s="2">
        <v>0.02</v>
      </c>
      <c r="O66" s="2">
        <v>3.6</v>
      </c>
      <c r="Q66">
        <f t="shared" si="8"/>
        <v>85484</v>
      </c>
      <c r="R66">
        <f t="shared" si="9"/>
        <v>7205.6320000000005</v>
      </c>
      <c r="S66">
        <f t="shared" si="10"/>
        <v>5045.6000000000004</v>
      </c>
      <c r="T66">
        <f t="shared" si="11"/>
        <v>0</v>
      </c>
      <c r="U66">
        <f t="shared" si="12"/>
        <v>99.399999999999991</v>
      </c>
      <c r="V66">
        <f t="shared" si="13"/>
        <v>58.128</v>
      </c>
      <c r="W66">
        <f t="shared" si="14"/>
        <v>28</v>
      </c>
      <c r="X66">
        <f t="shared" si="15"/>
        <v>5040</v>
      </c>
    </row>
    <row r="67" spans="1:24" x14ac:dyDescent="0.3">
      <c r="A67" s="18">
        <v>61</v>
      </c>
      <c r="B67" s="16">
        <v>86479</v>
      </c>
      <c r="C67" t="s">
        <v>108</v>
      </c>
      <c r="D67" s="5" t="s">
        <v>75</v>
      </c>
      <c r="E67" s="6">
        <v>1000</v>
      </c>
      <c r="F67">
        <v>4.8899999999999997</v>
      </c>
      <c r="G67">
        <v>95.11</v>
      </c>
      <c r="H67" s="2">
        <v>61.13</v>
      </c>
      <c r="I67" s="2">
        <v>4.9033499999999997</v>
      </c>
      <c r="J67" s="2">
        <v>3.6179999999999999</v>
      </c>
      <c r="K67" s="2">
        <v>0</v>
      </c>
      <c r="L67" s="2">
        <v>7.0000000000000007E-2</v>
      </c>
      <c r="M67" s="2">
        <v>4.1160000000000002E-2</v>
      </c>
      <c r="N67" s="2">
        <v>2.1000000000000001E-2</v>
      </c>
      <c r="O67" s="2">
        <v>3.71</v>
      </c>
      <c r="Q67">
        <f t="shared" si="8"/>
        <v>61130</v>
      </c>
      <c r="R67">
        <f t="shared" si="9"/>
        <v>4903.3499999999995</v>
      </c>
      <c r="S67">
        <f t="shared" si="10"/>
        <v>3618</v>
      </c>
      <c r="T67">
        <f t="shared" si="11"/>
        <v>0</v>
      </c>
      <c r="U67">
        <f t="shared" si="12"/>
        <v>70</v>
      </c>
      <c r="V67">
        <f t="shared" si="13"/>
        <v>41.160000000000004</v>
      </c>
      <c r="W67">
        <f t="shared" si="14"/>
        <v>21</v>
      </c>
      <c r="X67">
        <f t="shared" si="15"/>
        <v>3710</v>
      </c>
    </row>
    <row r="68" spans="1:24" x14ac:dyDescent="0.3">
      <c r="A68" s="18">
        <v>62</v>
      </c>
      <c r="B68" s="16">
        <v>86478</v>
      </c>
      <c r="C68" t="s">
        <v>108</v>
      </c>
      <c r="D68" s="5" t="s">
        <v>76</v>
      </c>
      <c r="E68" s="6">
        <v>600</v>
      </c>
      <c r="F68">
        <v>4.34</v>
      </c>
      <c r="G68">
        <v>5.0199999999999996</v>
      </c>
      <c r="H68" s="2">
        <v>65.23</v>
      </c>
      <c r="I68" s="2">
        <v>1.9554199999999999</v>
      </c>
      <c r="J68" s="2">
        <v>1.2529999999999999</v>
      </c>
      <c r="K68" s="2">
        <v>0</v>
      </c>
      <c r="L68" s="2">
        <v>2.1000000000000001E-2</v>
      </c>
      <c r="M68" s="2">
        <v>4.5420000000000002E-2</v>
      </c>
      <c r="N68" s="2">
        <v>4.8000000000000001E-2</v>
      </c>
      <c r="O68" s="2">
        <v>3.24</v>
      </c>
      <c r="Q68">
        <f t="shared" si="8"/>
        <v>39138</v>
      </c>
      <c r="R68">
        <f t="shared" si="9"/>
        <v>1173.252</v>
      </c>
      <c r="S68">
        <f t="shared" si="10"/>
        <v>751.8</v>
      </c>
      <c r="T68">
        <f t="shared" si="11"/>
        <v>0</v>
      </c>
      <c r="U68">
        <f t="shared" si="12"/>
        <v>12.600000000000001</v>
      </c>
      <c r="V68">
        <f t="shared" si="13"/>
        <v>27.252000000000002</v>
      </c>
      <c r="W68">
        <f t="shared" si="14"/>
        <v>28.8</v>
      </c>
      <c r="X68">
        <f t="shared" si="15"/>
        <v>1944.0000000000002</v>
      </c>
    </row>
    <row r="69" spans="1:24" x14ac:dyDescent="0.3">
      <c r="A69" s="18">
        <v>63</v>
      </c>
      <c r="B69" s="16">
        <v>85968</v>
      </c>
      <c r="C69" t="s">
        <v>119</v>
      </c>
      <c r="D69" s="5" t="s">
        <v>75</v>
      </c>
      <c r="E69" s="6">
        <v>1000</v>
      </c>
      <c r="F69">
        <v>4.74</v>
      </c>
      <c r="G69">
        <v>95.26</v>
      </c>
      <c r="H69" s="2">
        <v>62.18</v>
      </c>
      <c r="I69" s="2">
        <v>3.79379</v>
      </c>
      <c r="J69" s="2">
        <v>3.052</v>
      </c>
      <c r="K69" s="2">
        <v>0</v>
      </c>
      <c r="L69" s="2">
        <v>5.8000000000000003E-2</v>
      </c>
      <c r="M69" s="2">
        <v>4.4659999999999998E-2</v>
      </c>
      <c r="N69" s="2">
        <v>1.6E-2</v>
      </c>
      <c r="O69" s="2">
        <v>3.87</v>
      </c>
      <c r="Q69">
        <f t="shared" si="8"/>
        <v>62180</v>
      </c>
      <c r="R69">
        <f t="shared" si="9"/>
        <v>3793.79</v>
      </c>
      <c r="S69">
        <f t="shared" si="10"/>
        <v>3052</v>
      </c>
      <c r="T69">
        <f t="shared" si="11"/>
        <v>0</v>
      </c>
      <c r="U69">
        <f t="shared" si="12"/>
        <v>58</v>
      </c>
      <c r="V69">
        <f t="shared" si="13"/>
        <v>44.66</v>
      </c>
      <c r="W69">
        <f t="shared" si="14"/>
        <v>16</v>
      </c>
      <c r="X69">
        <f t="shared" si="15"/>
        <v>3870</v>
      </c>
    </row>
    <row r="70" spans="1:24" x14ac:dyDescent="0.3">
      <c r="A70" s="18">
        <v>64</v>
      </c>
      <c r="B70" s="16">
        <v>85967</v>
      </c>
      <c r="C70" t="s">
        <v>113</v>
      </c>
      <c r="D70" s="5" t="s">
        <v>75</v>
      </c>
      <c r="E70" s="6">
        <v>1000</v>
      </c>
      <c r="F70">
        <v>4.78</v>
      </c>
      <c r="G70">
        <v>95.22</v>
      </c>
      <c r="H70" s="2">
        <v>62.03</v>
      </c>
      <c r="I70" s="2">
        <v>4.2109899999999998</v>
      </c>
      <c r="J70" s="2">
        <v>3.1469999999999998</v>
      </c>
      <c r="K70" s="2">
        <v>0</v>
      </c>
      <c r="L70" s="2">
        <v>6.0999999999999999E-2</v>
      </c>
      <c r="M70" s="2">
        <v>4.3580000000000001E-2</v>
      </c>
      <c r="N70" s="2">
        <v>1.0999999999999999E-2</v>
      </c>
      <c r="O70" s="2">
        <v>3.65</v>
      </c>
      <c r="Q70">
        <f t="shared" si="8"/>
        <v>62030</v>
      </c>
      <c r="R70">
        <f t="shared" si="9"/>
        <v>4210.99</v>
      </c>
      <c r="S70">
        <f t="shared" si="10"/>
        <v>3147</v>
      </c>
      <c r="T70">
        <f t="shared" si="11"/>
        <v>0</v>
      </c>
      <c r="U70">
        <f t="shared" si="12"/>
        <v>61</v>
      </c>
      <c r="V70">
        <f t="shared" si="13"/>
        <v>43.58</v>
      </c>
      <c r="W70">
        <f t="shared" si="14"/>
        <v>11</v>
      </c>
      <c r="X70">
        <f t="shared" si="15"/>
        <v>3650</v>
      </c>
    </row>
    <row r="71" spans="1:24" x14ac:dyDescent="0.3">
      <c r="A71" s="18">
        <v>65</v>
      </c>
      <c r="B71" s="16">
        <v>85966</v>
      </c>
      <c r="C71" t="s">
        <v>113</v>
      </c>
      <c r="D71" s="5" t="s">
        <v>76</v>
      </c>
      <c r="E71" s="6">
        <v>500</v>
      </c>
      <c r="F71">
        <v>4.84</v>
      </c>
      <c r="G71">
        <v>4.93</v>
      </c>
      <c r="H71" s="2">
        <v>64.92</v>
      </c>
      <c r="I71" s="2">
        <v>1.8516699999999999</v>
      </c>
      <c r="J71" s="2">
        <v>1.6659999999999999</v>
      </c>
      <c r="K71" s="2">
        <v>0</v>
      </c>
      <c r="L71" s="2">
        <v>1.9E-2</v>
      </c>
      <c r="M71" s="2">
        <v>4.7160000000000001E-2</v>
      </c>
      <c r="N71" s="2">
        <v>1.4999999999999999E-2</v>
      </c>
      <c r="O71" s="2">
        <v>3.44</v>
      </c>
      <c r="Q71">
        <f t="shared" si="8"/>
        <v>32460</v>
      </c>
      <c r="R71">
        <f t="shared" si="9"/>
        <v>925.83499999999992</v>
      </c>
      <c r="S71">
        <f t="shared" si="10"/>
        <v>833</v>
      </c>
      <c r="T71">
        <f t="shared" si="11"/>
        <v>0</v>
      </c>
      <c r="U71">
        <f t="shared" si="12"/>
        <v>9.5</v>
      </c>
      <c r="V71">
        <f t="shared" si="13"/>
        <v>23.580000000000002</v>
      </c>
      <c r="W71">
        <f t="shared" si="14"/>
        <v>7.5</v>
      </c>
      <c r="X71">
        <f t="shared" si="15"/>
        <v>1720</v>
      </c>
    </row>
    <row r="72" spans="1:24" x14ac:dyDescent="0.3">
      <c r="A72" s="18">
        <v>66</v>
      </c>
      <c r="B72" s="16">
        <v>86508</v>
      </c>
      <c r="C72" t="s">
        <v>119</v>
      </c>
      <c r="D72" s="5" t="s">
        <v>75</v>
      </c>
      <c r="E72" s="6">
        <v>1400</v>
      </c>
      <c r="F72">
        <v>4.6500000000000004</v>
      </c>
      <c r="G72">
        <v>95.35</v>
      </c>
      <c r="H72" s="2">
        <v>61.73</v>
      </c>
      <c r="I72" s="2">
        <v>4.7229299999999999</v>
      </c>
      <c r="J72" s="2">
        <v>3.1669999999999998</v>
      </c>
      <c r="K72" s="2">
        <v>0.186</v>
      </c>
      <c r="L72" s="2">
        <v>7.1999999999999995E-2</v>
      </c>
      <c r="M72" s="2">
        <v>3.9410000000000001E-2</v>
      </c>
      <c r="N72" s="2">
        <v>1.9E-2</v>
      </c>
      <c r="O72" s="2">
        <v>3.34</v>
      </c>
      <c r="Q72">
        <f t="shared" si="8"/>
        <v>86422</v>
      </c>
      <c r="R72">
        <f t="shared" si="9"/>
        <v>6612.1019999999999</v>
      </c>
      <c r="S72">
        <f t="shared" si="10"/>
        <v>4433.8</v>
      </c>
      <c r="T72">
        <f t="shared" si="11"/>
        <v>260.39999999999998</v>
      </c>
      <c r="U72">
        <f t="shared" si="12"/>
        <v>100.8</v>
      </c>
      <c r="V72">
        <f t="shared" si="13"/>
        <v>55.173999999999999</v>
      </c>
      <c r="W72">
        <f t="shared" si="14"/>
        <v>26.599999999999998</v>
      </c>
      <c r="X72">
        <f t="shared" si="15"/>
        <v>4676</v>
      </c>
    </row>
    <row r="73" spans="1:24" x14ac:dyDescent="0.3">
      <c r="A73" s="18">
        <v>67</v>
      </c>
      <c r="B73" s="16">
        <v>86507</v>
      </c>
      <c r="C73" t="s">
        <v>120</v>
      </c>
      <c r="D73" s="5" t="s">
        <v>75</v>
      </c>
      <c r="E73" s="6">
        <v>1000</v>
      </c>
      <c r="F73">
        <v>4.8</v>
      </c>
      <c r="G73">
        <v>95.2</v>
      </c>
      <c r="H73" s="2">
        <v>61.96</v>
      </c>
      <c r="I73" s="2">
        <v>4.2289399999999997</v>
      </c>
      <c r="J73" s="2">
        <v>3.0409999999999999</v>
      </c>
      <c r="K73" s="2">
        <v>0.48</v>
      </c>
      <c r="L73" s="2">
        <v>7.5999999999999998E-2</v>
      </c>
      <c r="M73" s="2">
        <v>3.8600000000000002E-2</v>
      </c>
      <c r="N73" s="2">
        <v>0.02</v>
      </c>
      <c r="O73" s="2">
        <v>3.36</v>
      </c>
      <c r="Q73">
        <f t="shared" si="8"/>
        <v>61960</v>
      </c>
      <c r="R73">
        <f t="shared" si="9"/>
        <v>4228.9399999999996</v>
      </c>
      <c r="S73">
        <f t="shared" si="10"/>
        <v>3041</v>
      </c>
      <c r="T73">
        <f t="shared" si="11"/>
        <v>480</v>
      </c>
      <c r="U73">
        <f t="shared" si="12"/>
        <v>76</v>
      </c>
      <c r="V73">
        <f t="shared" si="13"/>
        <v>38.6</v>
      </c>
      <c r="W73">
        <f t="shared" si="14"/>
        <v>20</v>
      </c>
      <c r="X73">
        <f t="shared" si="15"/>
        <v>3360</v>
      </c>
    </row>
    <row r="74" spans="1:24" x14ac:dyDescent="0.3">
      <c r="A74" s="18">
        <v>68</v>
      </c>
      <c r="B74" s="16">
        <v>86506</v>
      </c>
      <c r="C74" t="s">
        <v>120</v>
      </c>
      <c r="D74" s="5" t="s">
        <v>76</v>
      </c>
      <c r="E74" s="6">
        <v>600</v>
      </c>
      <c r="F74">
        <v>4.6500000000000004</v>
      </c>
      <c r="G74">
        <v>4.88</v>
      </c>
      <c r="H74" s="2">
        <v>64.81</v>
      </c>
      <c r="I74" s="2">
        <v>2.3145099999999998</v>
      </c>
      <c r="J74" s="2">
        <v>1.782</v>
      </c>
      <c r="K74" s="2">
        <v>0</v>
      </c>
      <c r="L74" s="2">
        <v>1.7999999999999999E-2</v>
      </c>
      <c r="M74" s="2">
        <v>4.3249999999999997E-2</v>
      </c>
      <c r="N74" s="2">
        <v>1.4E-2</v>
      </c>
      <c r="O74" s="2">
        <v>3.03</v>
      </c>
      <c r="Q74">
        <f t="shared" si="8"/>
        <v>38886</v>
      </c>
      <c r="R74">
        <f t="shared" si="9"/>
        <v>1388.7059999999999</v>
      </c>
      <c r="S74">
        <f t="shared" si="10"/>
        <v>1069.2</v>
      </c>
      <c r="T74">
        <f t="shared" si="11"/>
        <v>0</v>
      </c>
      <c r="U74">
        <f t="shared" si="12"/>
        <v>10.799999999999999</v>
      </c>
      <c r="V74">
        <f t="shared" si="13"/>
        <v>25.95</v>
      </c>
      <c r="W74">
        <f t="shared" si="14"/>
        <v>8.4</v>
      </c>
      <c r="X74">
        <f t="shared" si="15"/>
        <v>1817.9999999999998</v>
      </c>
    </row>
    <row r="75" spans="1:24" x14ac:dyDescent="0.3">
      <c r="C75" s="5"/>
      <c r="D75" s="6"/>
      <c r="G75" s="2"/>
      <c r="H75" s="2"/>
      <c r="I75" s="2"/>
      <c r="J75" s="2"/>
      <c r="K75" s="2"/>
      <c r="L75" s="2"/>
      <c r="M75" s="2"/>
      <c r="N75" s="2"/>
    </row>
    <row r="76" spans="1:24" x14ac:dyDescent="0.3">
      <c r="C76" s="5"/>
      <c r="D76" s="6"/>
      <c r="G76" s="2"/>
      <c r="H76" s="2"/>
      <c r="I76" s="2"/>
      <c r="J76" s="2"/>
      <c r="K76" s="2"/>
      <c r="L76" s="2"/>
      <c r="M76" s="2"/>
      <c r="N76" s="2"/>
    </row>
    <row r="77" spans="1:24" x14ac:dyDescent="0.3">
      <c r="D77" s="3" t="s">
        <v>79</v>
      </c>
      <c r="E77" s="17" t="s">
        <v>78</v>
      </c>
      <c r="F77" s="7" t="s">
        <v>5</v>
      </c>
      <c r="G77" s="8" t="s">
        <v>6</v>
      </c>
      <c r="H77" s="9" t="s">
        <v>7</v>
      </c>
      <c r="I77" s="10" t="s">
        <v>8</v>
      </c>
      <c r="J77" s="11" t="s">
        <v>9</v>
      </c>
      <c r="K77" s="12" t="s">
        <v>10</v>
      </c>
      <c r="L77" s="13" t="s">
        <v>11</v>
      </c>
      <c r="M77" s="14" t="s">
        <v>12</v>
      </c>
    </row>
    <row r="78" spans="1:24" x14ac:dyDescent="0.3">
      <c r="D78" s="5" t="s">
        <v>77</v>
      </c>
      <c r="E78" s="16">
        <f>SUMIF(D7:D74,"Fines",E7:E74)</f>
        <v>49600</v>
      </c>
      <c r="F78" s="2">
        <f t="shared" ref="F78:M78" si="16">P78/$E$78</f>
        <v>60.794955645161288</v>
      </c>
      <c r="G78" s="2">
        <f t="shared" si="16"/>
        <v>4.7174525241935488</v>
      </c>
      <c r="H78" s="2">
        <f t="shared" si="16"/>
        <v>3.7074903225806448</v>
      </c>
      <c r="I78" s="2">
        <f t="shared" si="16"/>
        <v>0.10234919354838709</v>
      </c>
      <c r="J78" s="2">
        <f t="shared" si="16"/>
        <v>6.1441129032258054E-2</v>
      </c>
      <c r="K78" s="2">
        <f t="shared" si="16"/>
        <v>4.9817991935483863E-2</v>
      </c>
      <c r="L78" s="2">
        <f t="shared" si="16"/>
        <v>2.0162096774193547E-2</v>
      </c>
      <c r="M78" s="2">
        <f t="shared" si="16"/>
        <v>4.1731693548387101</v>
      </c>
      <c r="P78">
        <f t="shared" ref="P78:W78" si="17">SUMIF($D$7:$D$74,"Fines",Q7:Q74)</f>
        <v>3015429.8</v>
      </c>
      <c r="Q78">
        <f t="shared" si="17"/>
        <v>233985.64520000003</v>
      </c>
      <c r="R78">
        <f t="shared" si="17"/>
        <v>183891.52</v>
      </c>
      <c r="S78">
        <f t="shared" si="17"/>
        <v>5076.5199999999995</v>
      </c>
      <c r="T78">
        <f t="shared" si="17"/>
        <v>3047.4799999999996</v>
      </c>
      <c r="U78">
        <f t="shared" si="17"/>
        <v>2470.9723999999997</v>
      </c>
      <c r="V78">
        <f t="shared" si="17"/>
        <v>1000.0399999999998</v>
      </c>
      <c r="W78">
        <f t="shared" si="17"/>
        <v>206989.2</v>
      </c>
    </row>
    <row r="79" spans="1:24" x14ac:dyDescent="0.3">
      <c r="D79" s="5" t="s">
        <v>76</v>
      </c>
      <c r="E79" s="16">
        <f>SUMIF(D7:D74,"CLO",E7:E74)</f>
        <v>12400</v>
      </c>
      <c r="F79" s="2">
        <f t="shared" ref="F79:M79" si="18">P79/$E$79</f>
        <v>64.112806451612911</v>
      </c>
      <c r="G79" s="2">
        <f t="shared" si="18"/>
        <v>2.2569059999999999</v>
      </c>
      <c r="H79" s="2">
        <f t="shared" si="18"/>
        <v>1.9130919354838714</v>
      </c>
      <c r="I79" s="2">
        <f t="shared" si="18"/>
        <v>4.5306451612903219E-2</v>
      </c>
      <c r="J79" s="2">
        <f t="shared" si="18"/>
        <v>2.1309677419354838E-2</v>
      </c>
      <c r="K79" s="2">
        <f t="shared" si="18"/>
        <v>5.4595241935483874E-2</v>
      </c>
      <c r="L79" s="2">
        <f t="shared" si="18"/>
        <v>3.3283870967741935E-2</v>
      </c>
      <c r="M79" s="2">
        <f t="shared" si="18"/>
        <v>3.7124032258064519</v>
      </c>
      <c r="P79">
        <f>SUMIF($D$7:$D$74,"CLO",Q7:Q74)</f>
        <v>794998.8</v>
      </c>
      <c r="Q79">
        <f t="shared" ref="Q79:W79" si="19">SUMIF($D$7:$D$74,"CLO",R7:R74)</f>
        <v>27985.634399999999</v>
      </c>
      <c r="R79">
        <f t="shared" si="19"/>
        <v>23722.340000000004</v>
      </c>
      <c r="S79">
        <f t="shared" si="19"/>
        <v>561.79999999999995</v>
      </c>
      <c r="T79">
        <f t="shared" si="19"/>
        <v>264.24</v>
      </c>
      <c r="U79">
        <f t="shared" si="19"/>
        <v>676.98099999999999</v>
      </c>
      <c r="V79">
        <f t="shared" si="19"/>
        <v>412.71999999999997</v>
      </c>
      <c r="W79">
        <f t="shared" si="19"/>
        <v>46033.8</v>
      </c>
    </row>
    <row r="80" spans="1:24" x14ac:dyDescent="0.3">
      <c r="E80" s="17">
        <f>SUM(E78:E79)</f>
        <v>62000</v>
      </c>
    </row>
  </sheetData>
  <autoFilter ref="A6:AH74" xr:uid="{00000000-0001-0000-0000-000000000000}"/>
  <mergeCells count="5">
    <mergeCell ref="C5:C6"/>
    <mergeCell ref="E5:E6"/>
    <mergeCell ref="D5:D6"/>
    <mergeCell ref="A5:A6"/>
    <mergeCell ref="F5:G5"/>
  </mergeCells>
  <conditionalFormatting sqref="H19:H74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7:N74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7:I7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7:J7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7:H7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K2"/>
  <sheetViews>
    <sheetView workbookViewId="0"/>
  </sheetViews>
  <sheetFormatPr defaultRowHeight="14.4" x14ac:dyDescent="0.3"/>
  <sheetData>
    <row r="2" spans="2:11" x14ac:dyDescent="0.3">
      <c r="B2" s="54" t="s">
        <v>69</v>
      </c>
      <c r="C2" s="55"/>
      <c r="D2" s="55"/>
      <c r="E2" s="55"/>
      <c r="F2" s="55"/>
      <c r="G2" s="55"/>
      <c r="H2" s="55"/>
      <c r="I2" s="55"/>
      <c r="J2" s="55"/>
      <c r="K2" s="55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K2"/>
  <sheetViews>
    <sheetView workbookViewId="0"/>
  </sheetViews>
  <sheetFormatPr defaultRowHeight="14.4" x14ac:dyDescent="0.3"/>
  <sheetData>
    <row r="2" spans="2:11" x14ac:dyDescent="0.3">
      <c r="B2" s="56" t="s">
        <v>69</v>
      </c>
      <c r="C2" s="55"/>
      <c r="D2" s="55"/>
      <c r="E2" s="55"/>
      <c r="F2" s="55"/>
      <c r="G2" s="55"/>
      <c r="H2" s="55"/>
      <c r="I2" s="55"/>
      <c r="J2" s="55"/>
      <c r="K2" s="55"/>
    </row>
  </sheetData>
  <mergeCells count="1"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K2"/>
  <sheetViews>
    <sheetView workbookViewId="0"/>
  </sheetViews>
  <sheetFormatPr defaultRowHeight="14.4" x14ac:dyDescent="0.3"/>
  <sheetData>
    <row r="2" spans="2:11" x14ac:dyDescent="0.3">
      <c r="B2" s="57" t="s">
        <v>69</v>
      </c>
      <c r="C2" s="55"/>
      <c r="D2" s="55"/>
      <c r="E2" s="55"/>
      <c r="F2" s="55"/>
      <c r="G2" s="55"/>
      <c r="H2" s="55"/>
      <c r="I2" s="55"/>
      <c r="J2" s="55"/>
      <c r="K2" s="55"/>
    </row>
  </sheetData>
  <mergeCells count="1">
    <mergeCell ref="B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E8FB-0EE1-43BF-9BC2-FDAD038DEC5A}">
  <dimension ref="A1:AG94"/>
  <sheetViews>
    <sheetView topLeftCell="A4" workbookViewId="0">
      <selection activeCell="Y20" sqref="Y20"/>
    </sheetView>
  </sheetViews>
  <sheetFormatPr defaultRowHeight="14.4" x14ac:dyDescent="0.3"/>
  <cols>
    <col min="1" max="1" width="6.44140625" bestFit="1" customWidth="1"/>
    <col min="2" max="2" width="19.21875" customWidth="1"/>
    <col min="3" max="4" width="14.6640625" customWidth="1"/>
    <col min="5" max="5" width="6.44140625" bestFit="1" customWidth="1"/>
    <col min="6" max="6" width="7.5546875" bestFit="1" customWidth="1"/>
    <col min="7" max="9" width="6" bestFit="1" customWidth="1"/>
    <col min="10" max="10" width="7.5546875" bestFit="1" customWidth="1"/>
    <col min="11" max="12" width="6" bestFit="1" customWidth="1"/>
    <col min="13" max="13" width="13.21875" customWidth="1"/>
    <col min="14" max="21" width="8.88671875" hidden="1" customWidth="1"/>
  </cols>
  <sheetData>
    <row r="1" spans="1:22" ht="15.6" x14ac:dyDescent="0.3">
      <c r="A1" s="58" t="s">
        <v>70</v>
      </c>
      <c r="B1" s="55"/>
    </row>
    <row r="2" spans="1:22" x14ac:dyDescent="0.3">
      <c r="B2" s="15" t="s">
        <v>71</v>
      </c>
      <c r="C2" t="s">
        <v>72</v>
      </c>
    </row>
    <row r="3" spans="1:22" x14ac:dyDescent="0.3">
      <c r="B3" s="1" t="s">
        <v>0</v>
      </c>
      <c r="C3" t="s">
        <v>1</v>
      </c>
    </row>
    <row r="5" spans="1:22" x14ac:dyDescent="0.3">
      <c r="A5" s="52" t="s">
        <v>2</v>
      </c>
      <c r="B5" s="59" t="s">
        <v>3</v>
      </c>
      <c r="C5" s="51" t="s">
        <v>74</v>
      </c>
      <c r="D5" s="51" t="s">
        <v>73</v>
      </c>
      <c r="E5" s="21" t="s">
        <v>4</v>
      </c>
    </row>
    <row r="6" spans="1:22" x14ac:dyDescent="0.3">
      <c r="A6" s="53"/>
      <c r="B6" s="55"/>
      <c r="C6" s="51"/>
      <c r="D6" s="51"/>
      <c r="E6" s="7" t="s">
        <v>5</v>
      </c>
      <c r="F6" s="8" t="s">
        <v>6</v>
      </c>
      <c r="G6" s="9" t="s">
        <v>7</v>
      </c>
      <c r="H6" s="10" t="s">
        <v>8</v>
      </c>
      <c r="I6" s="11" t="s">
        <v>9</v>
      </c>
      <c r="J6" s="12" t="s">
        <v>10</v>
      </c>
      <c r="K6" s="13" t="s">
        <v>11</v>
      </c>
      <c r="L6" s="14" t="s">
        <v>12</v>
      </c>
    </row>
    <row r="7" spans="1:22" x14ac:dyDescent="0.3">
      <c r="A7" s="18">
        <v>1</v>
      </c>
      <c r="B7" t="s">
        <v>80</v>
      </c>
      <c r="C7" s="19" t="s">
        <v>75</v>
      </c>
      <c r="D7" s="4">
        <v>1200</v>
      </c>
      <c r="E7" s="2">
        <v>60.41</v>
      </c>
      <c r="F7" s="2">
        <v>4.51858</v>
      </c>
      <c r="G7" s="2">
        <v>4.2809999999999997</v>
      </c>
      <c r="H7" s="2">
        <v>0</v>
      </c>
      <c r="I7" s="2">
        <v>5.1999999999999998E-2</v>
      </c>
      <c r="J7" s="2">
        <v>5.3019999999999998E-2</v>
      </c>
      <c r="K7" s="2">
        <v>2.5000000000000001E-2</v>
      </c>
      <c r="L7" s="2">
        <v>4.4800000000000004</v>
      </c>
      <c r="N7">
        <f t="shared" ref="N7:N23" si="0">$D7*E7</f>
        <v>72492</v>
      </c>
      <c r="O7">
        <f t="shared" ref="O7:O23" si="1">$D7*F7</f>
        <v>5422.2960000000003</v>
      </c>
      <c r="P7">
        <f t="shared" ref="P7:P23" si="2">$D7*G7</f>
        <v>5137.2</v>
      </c>
      <c r="Q7">
        <f t="shared" ref="Q7:Q23" si="3">$D7*H7</f>
        <v>0</v>
      </c>
      <c r="R7">
        <f t="shared" ref="R7:R23" si="4">$D7*I7</f>
        <v>62.4</v>
      </c>
      <c r="S7">
        <f t="shared" ref="S7:S23" si="5">$D7*J7</f>
        <v>63.623999999999995</v>
      </c>
      <c r="T7">
        <f t="shared" ref="T7:T23" si="6">$D7*K7</f>
        <v>30</v>
      </c>
      <c r="U7">
        <f t="shared" ref="U7:U23" si="7">$D7*L7</f>
        <v>5376.0000000000009</v>
      </c>
    </row>
    <row r="8" spans="1:22" x14ac:dyDescent="0.3">
      <c r="A8" s="18">
        <v>2</v>
      </c>
      <c r="B8" t="s">
        <v>82</v>
      </c>
      <c r="C8" s="19" t="s">
        <v>75</v>
      </c>
      <c r="D8" s="4">
        <v>1200</v>
      </c>
      <c r="E8" s="2">
        <v>60.27</v>
      </c>
      <c r="F8" s="2">
        <v>5.0258799999999999</v>
      </c>
      <c r="G8" s="2">
        <v>4.2140000000000004</v>
      </c>
      <c r="H8" s="2">
        <v>0</v>
      </c>
      <c r="I8" s="2">
        <v>7.0999999999999994E-2</v>
      </c>
      <c r="J8" s="2">
        <v>5.4719999999999998E-2</v>
      </c>
      <c r="K8" s="2">
        <v>1.4999999999999999E-2</v>
      </c>
      <c r="L8" s="2">
        <v>4.2300000000000004</v>
      </c>
      <c r="N8">
        <f t="shared" si="0"/>
        <v>72324</v>
      </c>
      <c r="O8">
        <f t="shared" si="1"/>
        <v>6031.0559999999996</v>
      </c>
      <c r="P8">
        <f t="shared" si="2"/>
        <v>5056.8</v>
      </c>
      <c r="Q8">
        <f t="shared" si="3"/>
        <v>0</v>
      </c>
      <c r="R8">
        <f t="shared" si="4"/>
        <v>85.199999999999989</v>
      </c>
      <c r="S8">
        <f t="shared" si="5"/>
        <v>65.664000000000001</v>
      </c>
      <c r="T8">
        <f t="shared" si="6"/>
        <v>18</v>
      </c>
      <c r="U8">
        <f t="shared" si="7"/>
        <v>5076.0000000000009</v>
      </c>
    </row>
    <row r="9" spans="1:22" x14ac:dyDescent="0.3">
      <c r="A9" s="18">
        <v>3</v>
      </c>
      <c r="B9" t="s">
        <v>84</v>
      </c>
      <c r="C9" s="19" t="s">
        <v>75</v>
      </c>
      <c r="D9" s="4">
        <v>1200</v>
      </c>
      <c r="E9" s="2">
        <v>60.395000000000003</v>
      </c>
      <c r="F9" s="2">
        <v>4.5590000000000002</v>
      </c>
      <c r="G9" s="2">
        <v>3.895</v>
      </c>
      <c r="H9" s="2"/>
      <c r="I9" s="2"/>
      <c r="J9" s="2">
        <v>4.2000000000000003E-2</v>
      </c>
      <c r="K9" s="2"/>
      <c r="L9" s="2">
        <v>4.2699999999999996</v>
      </c>
      <c r="N9">
        <f t="shared" si="0"/>
        <v>72474</v>
      </c>
      <c r="O9">
        <f t="shared" si="1"/>
        <v>5470.8</v>
      </c>
      <c r="P9">
        <f t="shared" si="2"/>
        <v>4674</v>
      </c>
      <c r="Q9">
        <f t="shared" si="3"/>
        <v>0</v>
      </c>
      <c r="R9">
        <f t="shared" si="4"/>
        <v>0</v>
      </c>
      <c r="S9">
        <f t="shared" si="5"/>
        <v>50.400000000000006</v>
      </c>
      <c r="T9">
        <f t="shared" si="6"/>
        <v>0</v>
      </c>
      <c r="U9">
        <f t="shared" si="7"/>
        <v>5123.9999999999991</v>
      </c>
    </row>
    <row r="10" spans="1:22" x14ac:dyDescent="0.3">
      <c r="A10" s="18">
        <v>4</v>
      </c>
      <c r="B10" t="s">
        <v>86</v>
      </c>
      <c r="C10" s="19" t="s">
        <v>75</v>
      </c>
      <c r="D10" s="4">
        <v>1000</v>
      </c>
      <c r="E10" s="2">
        <v>60.47</v>
      </c>
      <c r="F10" s="2">
        <v>4.78</v>
      </c>
      <c r="G10" s="2">
        <v>3.8130000000000002</v>
      </c>
      <c r="H10" s="2"/>
      <c r="I10" s="2"/>
      <c r="J10" s="2">
        <v>5.2999999999999999E-2</v>
      </c>
      <c r="K10" s="2"/>
      <c r="L10" s="2">
        <v>4.75</v>
      </c>
      <c r="N10">
        <f t="shared" si="0"/>
        <v>60470</v>
      </c>
      <c r="O10">
        <f t="shared" si="1"/>
        <v>4780</v>
      </c>
      <c r="P10">
        <f t="shared" si="2"/>
        <v>3813</v>
      </c>
      <c r="Q10">
        <f t="shared" si="3"/>
        <v>0</v>
      </c>
      <c r="R10">
        <f t="shared" si="4"/>
        <v>0</v>
      </c>
      <c r="S10">
        <f t="shared" si="5"/>
        <v>53</v>
      </c>
      <c r="T10">
        <f t="shared" si="6"/>
        <v>0</v>
      </c>
      <c r="U10">
        <f t="shared" si="7"/>
        <v>4750</v>
      </c>
    </row>
    <row r="11" spans="1:22" x14ac:dyDescent="0.3">
      <c r="A11" s="18">
        <v>5</v>
      </c>
      <c r="B11" t="s">
        <v>87</v>
      </c>
      <c r="C11" s="19" t="s">
        <v>75</v>
      </c>
      <c r="D11" s="4">
        <v>1000</v>
      </c>
      <c r="E11" s="2">
        <v>61.372</v>
      </c>
      <c r="F11" s="2">
        <v>4.3899999999999997</v>
      </c>
      <c r="G11" s="2">
        <v>2.794</v>
      </c>
      <c r="H11" s="2"/>
      <c r="I11" s="2"/>
      <c r="J11" s="2">
        <v>4.4999999999999998E-2</v>
      </c>
      <c r="K11" s="2"/>
      <c r="L11" s="2">
        <v>4.75</v>
      </c>
      <c r="N11">
        <f t="shared" si="0"/>
        <v>61372</v>
      </c>
      <c r="O11">
        <f t="shared" si="1"/>
        <v>4390</v>
      </c>
      <c r="P11">
        <f t="shared" si="2"/>
        <v>2794</v>
      </c>
      <c r="Q11">
        <f t="shared" si="3"/>
        <v>0</v>
      </c>
      <c r="R11">
        <f t="shared" si="4"/>
        <v>0</v>
      </c>
      <c r="S11">
        <f t="shared" si="5"/>
        <v>45</v>
      </c>
      <c r="T11">
        <f t="shared" si="6"/>
        <v>0</v>
      </c>
      <c r="U11">
        <f t="shared" si="7"/>
        <v>4750</v>
      </c>
    </row>
    <row r="12" spans="1:22" x14ac:dyDescent="0.3">
      <c r="A12" s="18">
        <v>6</v>
      </c>
      <c r="B12" t="s">
        <v>89</v>
      </c>
      <c r="C12" s="19" t="s">
        <v>75</v>
      </c>
      <c r="D12" s="4">
        <v>1400</v>
      </c>
      <c r="E12" s="2">
        <v>62.500999999999998</v>
      </c>
      <c r="F12" s="2">
        <v>3.56</v>
      </c>
      <c r="G12" s="2">
        <v>2.9769999999999999</v>
      </c>
      <c r="H12" s="2"/>
      <c r="I12" s="2"/>
      <c r="J12" s="2">
        <v>3.1E-2</v>
      </c>
      <c r="K12" s="2"/>
      <c r="L12" s="2">
        <v>3.92</v>
      </c>
      <c r="N12">
        <f t="shared" si="0"/>
        <v>87501.4</v>
      </c>
      <c r="O12">
        <f t="shared" si="1"/>
        <v>4984</v>
      </c>
      <c r="P12">
        <f t="shared" si="2"/>
        <v>4167.8</v>
      </c>
      <c r="Q12">
        <f t="shared" si="3"/>
        <v>0</v>
      </c>
      <c r="R12">
        <f t="shared" si="4"/>
        <v>0</v>
      </c>
      <c r="S12">
        <f t="shared" si="5"/>
        <v>43.4</v>
      </c>
      <c r="T12">
        <f t="shared" si="6"/>
        <v>0</v>
      </c>
      <c r="U12">
        <f t="shared" si="7"/>
        <v>5488</v>
      </c>
    </row>
    <row r="13" spans="1:22" x14ac:dyDescent="0.3">
      <c r="A13" s="18">
        <v>7</v>
      </c>
      <c r="B13" t="s">
        <v>90</v>
      </c>
      <c r="C13" s="19" t="s">
        <v>75</v>
      </c>
      <c r="D13" s="4">
        <v>1000</v>
      </c>
      <c r="E13" s="2">
        <v>62.725999999999999</v>
      </c>
      <c r="F13" s="2">
        <v>3.89</v>
      </c>
      <c r="G13" s="2">
        <v>2.4670000000000001</v>
      </c>
      <c r="H13" s="2"/>
      <c r="I13" s="2"/>
      <c r="J13" s="2">
        <v>4.2000000000000003E-2</v>
      </c>
      <c r="K13" s="2"/>
      <c r="L13" s="2">
        <v>3.86</v>
      </c>
      <c r="N13">
        <f t="shared" si="0"/>
        <v>62726</v>
      </c>
      <c r="O13">
        <f t="shared" si="1"/>
        <v>3890</v>
      </c>
      <c r="P13">
        <f t="shared" si="2"/>
        <v>2467</v>
      </c>
      <c r="Q13">
        <f t="shared" si="3"/>
        <v>0</v>
      </c>
      <c r="R13">
        <f t="shared" si="4"/>
        <v>0</v>
      </c>
      <c r="S13">
        <f t="shared" si="5"/>
        <v>42</v>
      </c>
      <c r="T13">
        <f t="shared" si="6"/>
        <v>0</v>
      </c>
      <c r="U13">
        <f t="shared" si="7"/>
        <v>3860</v>
      </c>
    </row>
    <row r="14" spans="1:22" x14ac:dyDescent="0.3">
      <c r="A14" s="18">
        <v>8</v>
      </c>
      <c r="B14" t="s">
        <v>13</v>
      </c>
      <c r="C14" s="3" t="s">
        <v>75</v>
      </c>
      <c r="D14" s="4">
        <v>1400</v>
      </c>
      <c r="E14" s="2">
        <v>61.16</v>
      </c>
      <c r="F14" s="2">
        <v>4.4503199999999996</v>
      </c>
      <c r="G14" s="2">
        <v>3.698</v>
      </c>
      <c r="H14" s="2">
        <v>0</v>
      </c>
      <c r="I14" s="2">
        <v>7.3999999999999996E-2</v>
      </c>
      <c r="J14" s="2">
        <v>5.382E-2</v>
      </c>
      <c r="K14" s="2">
        <v>1.7999999999999999E-2</v>
      </c>
      <c r="L14" s="2">
        <v>4</v>
      </c>
      <c r="N14">
        <f t="shared" si="0"/>
        <v>85624</v>
      </c>
      <c r="O14">
        <f t="shared" si="1"/>
        <v>6230.4479999999994</v>
      </c>
      <c r="P14">
        <f t="shared" si="2"/>
        <v>5177.2</v>
      </c>
      <c r="Q14">
        <f t="shared" si="3"/>
        <v>0</v>
      </c>
      <c r="R14">
        <f t="shared" si="4"/>
        <v>103.6</v>
      </c>
      <c r="S14">
        <f t="shared" si="5"/>
        <v>75.347999999999999</v>
      </c>
      <c r="T14">
        <f t="shared" si="6"/>
        <v>25.2</v>
      </c>
      <c r="U14">
        <f t="shared" si="7"/>
        <v>5600</v>
      </c>
      <c r="V14">
        <f>SUMPRODUCT(D13:D14,E13:E14)/SUM(D13:D14)</f>
        <v>61.8125</v>
      </c>
    </row>
    <row r="15" spans="1:22" x14ac:dyDescent="0.3">
      <c r="A15" s="18">
        <v>9</v>
      </c>
      <c r="B15" t="s">
        <v>14</v>
      </c>
      <c r="C15" s="3" t="s">
        <v>75</v>
      </c>
      <c r="D15" s="4">
        <v>1000</v>
      </c>
      <c r="E15" s="2">
        <v>60.77</v>
      </c>
      <c r="F15" s="2">
        <v>4.7812799999999998</v>
      </c>
      <c r="G15" s="2">
        <v>4.0350000000000001</v>
      </c>
      <c r="H15" s="2">
        <v>0</v>
      </c>
      <c r="I15" s="2">
        <v>7.8E-2</v>
      </c>
      <c r="J15" s="2">
        <v>4.965E-2</v>
      </c>
      <c r="K15" s="2">
        <v>2.5000000000000001E-2</v>
      </c>
      <c r="L15" s="2">
        <v>3.94</v>
      </c>
      <c r="N15">
        <f t="shared" si="0"/>
        <v>60770</v>
      </c>
      <c r="O15">
        <f t="shared" si="1"/>
        <v>4781.28</v>
      </c>
      <c r="P15">
        <f t="shared" si="2"/>
        <v>4035</v>
      </c>
      <c r="Q15">
        <f t="shared" si="3"/>
        <v>0</v>
      </c>
      <c r="R15">
        <f t="shared" si="4"/>
        <v>78</v>
      </c>
      <c r="S15">
        <f t="shared" si="5"/>
        <v>49.65</v>
      </c>
      <c r="T15">
        <f t="shared" si="6"/>
        <v>25</v>
      </c>
      <c r="U15">
        <f t="shared" si="7"/>
        <v>3940</v>
      </c>
    </row>
    <row r="16" spans="1:22" x14ac:dyDescent="0.3">
      <c r="A16" s="18">
        <v>10</v>
      </c>
      <c r="B16" t="s">
        <v>16</v>
      </c>
      <c r="C16" s="3" t="s">
        <v>75</v>
      </c>
      <c r="D16" s="6">
        <v>1400</v>
      </c>
      <c r="E16" s="2">
        <v>60.27</v>
      </c>
      <c r="F16" s="2">
        <v>4.7517899999999997</v>
      </c>
      <c r="G16" s="2">
        <v>4.282</v>
      </c>
      <c r="H16" s="2">
        <v>0</v>
      </c>
      <c r="I16" s="2">
        <v>7.8E-2</v>
      </c>
      <c r="J16" s="2">
        <v>5.5379999999999999E-2</v>
      </c>
      <c r="K16" s="2">
        <v>1.7000000000000001E-2</v>
      </c>
      <c r="L16" s="2">
        <v>4.4400000000000004</v>
      </c>
      <c r="N16">
        <f t="shared" si="0"/>
        <v>84378</v>
      </c>
      <c r="O16">
        <f t="shared" si="1"/>
        <v>6652.5059999999994</v>
      </c>
      <c r="P16">
        <f t="shared" si="2"/>
        <v>5994.8</v>
      </c>
      <c r="Q16">
        <f t="shared" si="3"/>
        <v>0</v>
      </c>
      <c r="R16">
        <f t="shared" si="4"/>
        <v>109.2</v>
      </c>
      <c r="S16">
        <f t="shared" si="5"/>
        <v>77.531999999999996</v>
      </c>
      <c r="T16">
        <f t="shared" si="6"/>
        <v>23.8</v>
      </c>
      <c r="U16">
        <f t="shared" si="7"/>
        <v>6216.0000000000009</v>
      </c>
    </row>
    <row r="17" spans="1:33" x14ac:dyDescent="0.3">
      <c r="A17" s="18">
        <v>29</v>
      </c>
      <c r="B17" t="s">
        <v>42</v>
      </c>
      <c r="C17" s="5" t="s">
        <v>75</v>
      </c>
      <c r="D17" s="6">
        <v>1000</v>
      </c>
      <c r="E17" s="2">
        <v>60.62</v>
      </c>
      <c r="F17" s="2">
        <v>4.5429700000000004</v>
      </c>
      <c r="G17" s="2">
        <v>3.7040000000000002</v>
      </c>
      <c r="H17" s="2">
        <v>0</v>
      </c>
      <c r="I17" s="2">
        <v>5.8000000000000003E-2</v>
      </c>
      <c r="J17" s="2">
        <v>5.8270000000000002E-2</v>
      </c>
      <c r="K17" s="2">
        <v>0.02</v>
      </c>
      <c r="L17" s="2">
        <v>4.71</v>
      </c>
      <c r="N17">
        <f t="shared" si="0"/>
        <v>60620</v>
      </c>
      <c r="O17">
        <f t="shared" si="1"/>
        <v>4542.97</v>
      </c>
      <c r="P17">
        <f t="shared" si="2"/>
        <v>3704</v>
      </c>
      <c r="Q17">
        <f t="shared" si="3"/>
        <v>0</v>
      </c>
      <c r="R17">
        <f t="shared" si="4"/>
        <v>58</v>
      </c>
      <c r="S17">
        <f t="shared" si="5"/>
        <v>58.27</v>
      </c>
      <c r="T17">
        <f t="shared" si="6"/>
        <v>20</v>
      </c>
      <c r="U17">
        <f t="shared" si="7"/>
        <v>4710</v>
      </c>
    </row>
    <row r="18" spans="1:33" x14ac:dyDescent="0.3">
      <c r="A18" s="18">
        <v>30</v>
      </c>
      <c r="B18" t="s">
        <v>45</v>
      </c>
      <c r="C18" s="5" t="s">
        <v>75</v>
      </c>
      <c r="D18" s="6">
        <v>1400</v>
      </c>
      <c r="E18" s="2">
        <v>60.35</v>
      </c>
      <c r="F18" s="2">
        <v>4.5502900000000004</v>
      </c>
      <c r="G18" s="2">
        <v>4.0590000000000002</v>
      </c>
      <c r="H18" s="2">
        <v>0</v>
      </c>
      <c r="I18" s="2">
        <v>0.06</v>
      </c>
      <c r="J18" s="2">
        <v>5.7820000000000003E-2</v>
      </c>
      <c r="K18" s="2">
        <v>0.02</v>
      </c>
      <c r="L18" s="2">
        <v>4.74</v>
      </c>
      <c r="N18">
        <f t="shared" si="0"/>
        <v>84490</v>
      </c>
      <c r="O18">
        <f t="shared" si="1"/>
        <v>6370.4060000000009</v>
      </c>
      <c r="P18">
        <f t="shared" si="2"/>
        <v>5682.6</v>
      </c>
      <c r="Q18">
        <f t="shared" si="3"/>
        <v>0</v>
      </c>
      <c r="R18">
        <f t="shared" si="4"/>
        <v>84</v>
      </c>
      <c r="S18">
        <f t="shared" si="5"/>
        <v>80.948000000000008</v>
      </c>
      <c r="T18">
        <f t="shared" si="6"/>
        <v>28</v>
      </c>
      <c r="U18">
        <f t="shared" si="7"/>
        <v>6636</v>
      </c>
    </row>
    <row r="19" spans="1:33" x14ac:dyDescent="0.3">
      <c r="A19" s="18">
        <v>31</v>
      </c>
      <c r="B19" t="s">
        <v>46</v>
      </c>
      <c r="C19" s="5" t="s">
        <v>75</v>
      </c>
      <c r="D19" s="6">
        <v>1000</v>
      </c>
      <c r="E19" s="2">
        <v>60.14</v>
      </c>
      <c r="F19" s="2">
        <v>4.6277100000000004</v>
      </c>
      <c r="G19" s="2">
        <v>4.3109999999999999</v>
      </c>
      <c r="H19" s="2">
        <v>0</v>
      </c>
      <c r="I19" s="2">
        <v>0.06</v>
      </c>
      <c r="J19" s="2">
        <v>5.808E-2</v>
      </c>
      <c r="K19" s="2">
        <v>1.7999999999999999E-2</v>
      </c>
      <c r="L19" s="2">
        <v>4.74</v>
      </c>
      <c r="N19">
        <f t="shared" si="0"/>
        <v>60140</v>
      </c>
      <c r="O19">
        <f t="shared" si="1"/>
        <v>4627.71</v>
      </c>
      <c r="P19">
        <f t="shared" si="2"/>
        <v>4311</v>
      </c>
      <c r="Q19">
        <f t="shared" si="3"/>
        <v>0</v>
      </c>
      <c r="R19">
        <f t="shared" si="4"/>
        <v>60</v>
      </c>
      <c r="S19">
        <f t="shared" si="5"/>
        <v>58.08</v>
      </c>
      <c r="T19">
        <f t="shared" si="6"/>
        <v>18</v>
      </c>
      <c r="U19">
        <f t="shared" si="7"/>
        <v>4740</v>
      </c>
    </row>
    <row r="20" spans="1:33" x14ac:dyDescent="0.3">
      <c r="A20" s="18">
        <v>32</v>
      </c>
      <c r="B20" t="s">
        <v>48</v>
      </c>
      <c r="C20" s="5" t="s">
        <v>75</v>
      </c>
      <c r="D20" s="6">
        <v>1400</v>
      </c>
      <c r="E20" s="2">
        <v>62.48</v>
      </c>
      <c r="F20" s="2">
        <v>3.8854000000000002</v>
      </c>
      <c r="G20" s="2">
        <v>2.6040000000000001</v>
      </c>
      <c r="H20" s="2">
        <v>0</v>
      </c>
      <c r="I20" s="2">
        <v>4.8000000000000001E-2</v>
      </c>
      <c r="J20" s="2">
        <v>4.7649999999999998E-2</v>
      </c>
      <c r="K20" s="2">
        <v>3.6999999999999998E-2</v>
      </c>
      <c r="L20" s="2">
        <v>3.8</v>
      </c>
      <c r="N20">
        <f t="shared" si="0"/>
        <v>87472</v>
      </c>
      <c r="O20">
        <f t="shared" si="1"/>
        <v>5439.56</v>
      </c>
      <c r="P20">
        <f t="shared" si="2"/>
        <v>3645.6</v>
      </c>
      <c r="Q20">
        <f t="shared" si="3"/>
        <v>0</v>
      </c>
      <c r="R20">
        <f t="shared" si="4"/>
        <v>67.2</v>
      </c>
      <c r="S20">
        <f t="shared" si="5"/>
        <v>66.709999999999994</v>
      </c>
      <c r="T20">
        <f t="shared" si="6"/>
        <v>51.8</v>
      </c>
      <c r="U20">
        <f t="shared" si="7"/>
        <v>5320</v>
      </c>
    </row>
    <row r="21" spans="1:33" x14ac:dyDescent="0.3">
      <c r="A21" s="18">
        <v>33</v>
      </c>
      <c r="B21" t="s">
        <v>49</v>
      </c>
      <c r="C21" s="5" t="s">
        <v>75</v>
      </c>
      <c r="D21" s="6">
        <v>1000</v>
      </c>
      <c r="E21" s="2">
        <v>62.43</v>
      </c>
      <c r="F21" s="2">
        <v>3.9959500000000001</v>
      </c>
      <c r="G21" s="2">
        <v>2.6459999999999999</v>
      </c>
      <c r="H21" s="2">
        <v>0</v>
      </c>
      <c r="I21" s="2">
        <v>0.05</v>
      </c>
      <c r="J21" s="2">
        <v>4.87E-2</v>
      </c>
      <c r="K21" s="2">
        <v>4.3999999999999997E-2</v>
      </c>
      <c r="L21" s="2">
        <v>3.72</v>
      </c>
      <c r="N21">
        <f t="shared" si="0"/>
        <v>62430</v>
      </c>
      <c r="O21">
        <f t="shared" si="1"/>
        <v>3995.9500000000003</v>
      </c>
      <c r="P21">
        <f t="shared" si="2"/>
        <v>2646</v>
      </c>
      <c r="Q21">
        <f t="shared" si="3"/>
        <v>0</v>
      </c>
      <c r="R21">
        <f t="shared" si="4"/>
        <v>50</v>
      </c>
      <c r="S21">
        <f t="shared" si="5"/>
        <v>48.7</v>
      </c>
      <c r="T21">
        <f t="shared" si="6"/>
        <v>44</v>
      </c>
      <c r="U21">
        <f t="shared" si="7"/>
        <v>3720</v>
      </c>
    </row>
    <row r="22" spans="1:33" x14ac:dyDescent="0.3">
      <c r="A22" s="18">
        <v>34</v>
      </c>
      <c r="B22" t="s">
        <v>50</v>
      </c>
      <c r="C22" s="5" t="s">
        <v>75</v>
      </c>
      <c r="D22" s="6">
        <v>1400</v>
      </c>
      <c r="E22" s="2">
        <v>60.67</v>
      </c>
      <c r="F22" s="2">
        <v>4.9371799999999997</v>
      </c>
      <c r="G22" s="2">
        <v>3.6419999999999999</v>
      </c>
      <c r="H22" s="2">
        <v>0</v>
      </c>
      <c r="I22" s="2">
        <v>6.8000000000000005E-2</v>
      </c>
      <c r="J22" s="2">
        <v>5.3249999999999999E-2</v>
      </c>
      <c r="K22" s="2">
        <v>0.03</v>
      </c>
      <c r="L22" s="2">
        <v>4.24</v>
      </c>
      <c r="N22">
        <f t="shared" si="0"/>
        <v>84938</v>
      </c>
      <c r="O22">
        <f t="shared" si="1"/>
        <v>6912.0519999999997</v>
      </c>
      <c r="P22">
        <f t="shared" si="2"/>
        <v>5098.8</v>
      </c>
      <c r="Q22">
        <f t="shared" si="3"/>
        <v>0</v>
      </c>
      <c r="R22">
        <f t="shared" si="4"/>
        <v>95.2</v>
      </c>
      <c r="S22">
        <f t="shared" si="5"/>
        <v>74.55</v>
      </c>
      <c r="T22">
        <f t="shared" si="6"/>
        <v>42</v>
      </c>
      <c r="U22">
        <f t="shared" si="7"/>
        <v>5936</v>
      </c>
    </row>
    <row r="23" spans="1:33" x14ac:dyDescent="0.3">
      <c r="A23" s="18">
        <v>35</v>
      </c>
      <c r="B23" t="s">
        <v>51</v>
      </c>
      <c r="C23" s="5" t="s">
        <v>75</v>
      </c>
      <c r="D23" s="6">
        <v>1000</v>
      </c>
      <c r="E23" s="2">
        <v>61.09</v>
      </c>
      <c r="F23" s="2">
        <v>4.9152300000000002</v>
      </c>
      <c r="G23" s="2">
        <v>3.379</v>
      </c>
      <c r="H23" s="2">
        <v>0</v>
      </c>
      <c r="I23" s="2">
        <v>6.0999999999999999E-2</v>
      </c>
      <c r="J23" s="2">
        <v>5.0950000000000002E-2</v>
      </c>
      <c r="K23" s="2">
        <v>2.1999999999999999E-2</v>
      </c>
      <c r="L23" s="2">
        <v>4</v>
      </c>
      <c r="N23">
        <f t="shared" si="0"/>
        <v>61090</v>
      </c>
      <c r="O23">
        <f t="shared" si="1"/>
        <v>4915.2300000000005</v>
      </c>
      <c r="P23">
        <f t="shared" si="2"/>
        <v>3379</v>
      </c>
      <c r="Q23">
        <f t="shared" si="3"/>
        <v>0</v>
      </c>
      <c r="R23">
        <f t="shared" si="4"/>
        <v>61</v>
      </c>
      <c r="S23">
        <f t="shared" si="5"/>
        <v>50.95</v>
      </c>
      <c r="T23">
        <f t="shared" si="6"/>
        <v>22</v>
      </c>
      <c r="U23">
        <f t="shared" si="7"/>
        <v>4000</v>
      </c>
    </row>
    <row r="24" spans="1:33" ht="15" thickBot="1" x14ac:dyDescent="0.35">
      <c r="A24" s="18"/>
      <c r="C24" s="5"/>
      <c r="D24" s="6">
        <v>29600</v>
      </c>
      <c r="E24" s="2">
        <v>60.612108108108103</v>
      </c>
      <c r="F24" s="2">
        <v>4.8834250405405415</v>
      </c>
      <c r="G24" s="2">
        <v>3.7874229729729736</v>
      </c>
      <c r="H24" s="2">
        <v>0.17150405405405403</v>
      </c>
      <c r="I24" s="2">
        <v>7.2083783783783772E-2</v>
      </c>
      <c r="J24" s="2">
        <v>4.9565756756756757E-2</v>
      </c>
      <c r="K24" s="2">
        <v>2.2035135135135137E-2</v>
      </c>
      <c r="L24" s="2">
        <v>4.1130810810810807</v>
      </c>
    </row>
    <row r="25" spans="1:33" x14ac:dyDescent="0.3">
      <c r="A25" s="18">
        <v>11</v>
      </c>
      <c r="B25" t="s">
        <v>17</v>
      </c>
      <c r="C25" s="22" t="s">
        <v>75</v>
      </c>
      <c r="D25" s="28">
        <v>1000</v>
      </c>
      <c r="E25" s="23">
        <v>60.24</v>
      </c>
      <c r="F25" s="23">
        <v>4.8116300000000001</v>
      </c>
      <c r="G25" s="23">
        <v>4.3849999999999998</v>
      </c>
      <c r="H25" s="23">
        <v>0</v>
      </c>
      <c r="I25" s="23">
        <v>7.5999999999999998E-2</v>
      </c>
      <c r="J25" s="23">
        <v>5.6480000000000002E-2</v>
      </c>
      <c r="K25" s="23">
        <v>1.6E-2</v>
      </c>
      <c r="L25" s="23">
        <v>4.33</v>
      </c>
      <c r="M25" s="60">
        <f>SUMPRODUCT(D25:D31,E25:E31)/SUM(D25:D31)</f>
        <v>60.626107784431134</v>
      </c>
      <c r="N25">
        <f t="shared" ref="N25:N53" si="8">$D25*E25</f>
        <v>60240</v>
      </c>
      <c r="O25">
        <f t="shared" ref="O25:O53" si="9">$D25*F25</f>
        <v>4811.63</v>
      </c>
      <c r="P25">
        <f t="shared" ref="P25:P53" si="10">$D25*G25</f>
        <v>4385</v>
      </c>
      <c r="Q25">
        <f t="shared" ref="Q25:Q53" si="11">$D25*H25</f>
        <v>0</v>
      </c>
      <c r="R25">
        <f t="shared" ref="R25:R53" si="12">$D25*I25</f>
        <v>76</v>
      </c>
      <c r="S25">
        <f t="shared" ref="S25:S53" si="13">$D25*J25</f>
        <v>56.480000000000004</v>
      </c>
      <c r="T25">
        <f t="shared" ref="T25:T53" si="14">$D25*K25</f>
        <v>16</v>
      </c>
      <c r="U25">
        <f t="shared" ref="U25:U53" si="15">$D25*L25</f>
        <v>4330</v>
      </c>
    </row>
    <row r="26" spans="1:33" x14ac:dyDescent="0.3">
      <c r="A26" s="18">
        <v>12</v>
      </c>
      <c r="B26" t="s">
        <v>20</v>
      </c>
      <c r="C26" s="24" t="s">
        <v>75</v>
      </c>
      <c r="D26" s="20">
        <v>720</v>
      </c>
      <c r="E26" s="2">
        <v>59.63</v>
      </c>
      <c r="F26" s="2">
        <v>5.5310100000000002</v>
      </c>
      <c r="G26" s="2">
        <v>4.4109999999999996</v>
      </c>
      <c r="H26" s="2">
        <v>1.2E-2</v>
      </c>
      <c r="I26" s="2">
        <v>8.3000000000000004E-2</v>
      </c>
      <c r="J26" s="2">
        <v>4.9959999999999997E-2</v>
      </c>
      <c r="K26" s="2">
        <v>1.0999999999999999E-2</v>
      </c>
      <c r="L26" s="2">
        <v>4.45</v>
      </c>
      <c r="M26" s="61"/>
      <c r="N26">
        <f t="shared" si="8"/>
        <v>42933.599999999999</v>
      </c>
      <c r="O26">
        <f t="shared" si="9"/>
        <v>3982.3272000000002</v>
      </c>
      <c r="P26">
        <f t="shared" si="10"/>
        <v>3175.9199999999996</v>
      </c>
      <c r="Q26">
        <f t="shared" si="11"/>
        <v>8.64</v>
      </c>
      <c r="R26">
        <f t="shared" si="12"/>
        <v>59.760000000000005</v>
      </c>
      <c r="S26">
        <f t="shared" si="13"/>
        <v>35.971199999999996</v>
      </c>
      <c r="T26">
        <f t="shared" si="14"/>
        <v>7.92</v>
      </c>
      <c r="U26">
        <f t="shared" si="15"/>
        <v>3204</v>
      </c>
    </row>
    <row r="27" spans="1:33" x14ac:dyDescent="0.3">
      <c r="A27" s="18">
        <v>13</v>
      </c>
      <c r="B27" t="s">
        <v>21</v>
      </c>
      <c r="C27" s="24" t="s">
        <v>75</v>
      </c>
      <c r="D27" s="20">
        <v>1000</v>
      </c>
      <c r="E27" s="2">
        <v>59.51</v>
      </c>
      <c r="F27" s="2">
        <v>5.5027200000000001</v>
      </c>
      <c r="G27" s="2">
        <v>4.5570000000000004</v>
      </c>
      <c r="H27" s="2">
        <v>0</v>
      </c>
      <c r="I27" s="2">
        <v>8.5999999999999993E-2</v>
      </c>
      <c r="J27" s="2">
        <v>4.9299999999999997E-2</v>
      </c>
      <c r="K27" s="2">
        <v>1.9E-2</v>
      </c>
      <c r="L27" s="2">
        <v>4.51</v>
      </c>
      <c r="M27" s="61"/>
      <c r="N27">
        <f t="shared" si="8"/>
        <v>59510</v>
      </c>
      <c r="O27">
        <f t="shared" si="9"/>
        <v>5502.72</v>
      </c>
      <c r="P27">
        <f t="shared" si="10"/>
        <v>4557</v>
      </c>
      <c r="Q27">
        <f t="shared" si="11"/>
        <v>0</v>
      </c>
      <c r="R27">
        <f t="shared" si="12"/>
        <v>86</v>
      </c>
      <c r="S27">
        <f t="shared" si="13"/>
        <v>49.3</v>
      </c>
      <c r="T27">
        <f t="shared" si="14"/>
        <v>19</v>
      </c>
      <c r="U27">
        <f t="shared" si="15"/>
        <v>4510</v>
      </c>
      <c r="Y27" s="2">
        <f>SUM(D25:D53)</f>
        <v>29600</v>
      </c>
      <c r="Z27">
        <f>SUMPRODUCT($D$25:$D$53,E25:E53)/$Y$27</f>
        <v>60.612108108108103</v>
      </c>
      <c r="AA27">
        <f>SUMPRODUCT($D$25:$D$53,F25:F53)/$Y$27</f>
        <v>4.8834250405405415</v>
      </c>
      <c r="AB27">
        <f t="shared" ref="AB27:AG27" si="16">SUMPRODUCT($D$25:$D$53,G25:G53)/$Y$27</f>
        <v>3.7874229729729736</v>
      </c>
      <c r="AC27">
        <f t="shared" si="16"/>
        <v>0.17150405405405403</v>
      </c>
      <c r="AD27">
        <f t="shared" si="16"/>
        <v>7.2083783783783772E-2</v>
      </c>
      <c r="AE27">
        <f t="shared" si="16"/>
        <v>4.9565756756756757E-2</v>
      </c>
      <c r="AF27">
        <f t="shared" si="16"/>
        <v>2.2035135135135137E-2</v>
      </c>
      <c r="AG27">
        <f t="shared" si="16"/>
        <v>4.1130810810810807</v>
      </c>
    </row>
    <row r="28" spans="1:33" x14ac:dyDescent="0.3">
      <c r="A28" s="18">
        <v>14</v>
      </c>
      <c r="B28" t="s">
        <v>22</v>
      </c>
      <c r="C28" s="24" t="s">
        <v>75</v>
      </c>
      <c r="D28" s="20">
        <v>1000</v>
      </c>
      <c r="E28" s="2">
        <v>60.4</v>
      </c>
      <c r="F28" s="2">
        <v>4.9713700000000003</v>
      </c>
      <c r="G28" s="2">
        <v>4.0439999999999996</v>
      </c>
      <c r="H28" s="2">
        <v>0</v>
      </c>
      <c r="I28" s="2">
        <v>0.08</v>
      </c>
      <c r="J28" s="2">
        <v>4.9349999999999998E-2</v>
      </c>
      <c r="K28" s="2">
        <v>1.0999999999999999E-2</v>
      </c>
      <c r="L28" s="2">
        <v>4.3099999999999996</v>
      </c>
      <c r="M28" s="61"/>
      <c r="N28">
        <f t="shared" si="8"/>
        <v>60400</v>
      </c>
      <c r="O28">
        <f t="shared" si="9"/>
        <v>4971.37</v>
      </c>
      <c r="P28">
        <f t="shared" si="10"/>
        <v>4043.9999999999995</v>
      </c>
      <c r="Q28">
        <f t="shared" si="11"/>
        <v>0</v>
      </c>
      <c r="R28">
        <f t="shared" si="12"/>
        <v>80</v>
      </c>
      <c r="S28">
        <f t="shared" si="13"/>
        <v>49.35</v>
      </c>
      <c r="T28">
        <f t="shared" si="14"/>
        <v>11</v>
      </c>
      <c r="U28">
        <f t="shared" si="15"/>
        <v>4310</v>
      </c>
    </row>
    <row r="29" spans="1:33" x14ac:dyDescent="0.3">
      <c r="A29" s="18">
        <v>15</v>
      </c>
      <c r="B29" t="s">
        <v>23</v>
      </c>
      <c r="C29" s="24" t="s">
        <v>75</v>
      </c>
      <c r="D29" s="20">
        <v>1400</v>
      </c>
      <c r="E29" s="2">
        <v>61.89</v>
      </c>
      <c r="F29" s="2">
        <v>4.05016</v>
      </c>
      <c r="G29" s="2">
        <v>3.3740000000000001</v>
      </c>
      <c r="H29" s="2">
        <v>0</v>
      </c>
      <c r="I29" s="2">
        <v>5.8999999999999997E-2</v>
      </c>
      <c r="J29" s="2">
        <v>5.4829999999999997E-2</v>
      </c>
      <c r="K29" s="2">
        <v>2.5000000000000001E-2</v>
      </c>
      <c r="L29" s="2">
        <v>3.71</v>
      </c>
      <c r="M29" s="61"/>
      <c r="N29">
        <f t="shared" si="8"/>
        <v>86646</v>
      </c>
      <c r="O29">
        <f t="shared" si="9"/>
        <v>5670.2240000000002</v>
      </c>
      <c r="P29">
        <f t="shared" si="10"/>
        <v>4723.6000000000004</v>
      </c>
      <c r="Q29">
        <f t="shared" si="11"/>
        <v>0</v>
      </c>
      <c r="R29">
        <f t="shared" si="12"/>
        <v>82.6</v>
      </c>
      <c r="S29">
        <f t="shared" si="13"/>
        <v>76.762</v>
      </c>
      <c r="T29">
        <f t="shared" si="14"/>
        <v>35</v>
      </c>
      <c r="U29">
        <f t="shared" si="15"/>
        <v>5194</v>
      </c>
    </row>
    <row r="30" spans="1:33" ht="15" thickBot="1" x14ac:dyDescent="0.35">
      <c r="A30" s="18">
        <v>16</v>
      </c>
      <c r="B30" t="s">
        <v>24</v>
      </c>
      <c r="C30" s="25" t="s">
        <v>75</v>
      </c>
      <c r="D30" s="29">
        <v>1000</v>
      </c>
      <c r="E30" s="26">
        <v>61.86</v>
      </c>
      <c r="F30" s="26">
        <v>4.0884</v>
      </c>
      <c r="G30" s="26">
        <v>3.4630000000000001</v>
      </c>
      <c r="H30" s="26">
        <v>0</v>
      </c>
      <c r="I30" s="26">
        <v>5.8000000000000003E-2</v>
      </c>
      <c r="J30" s="26">
        <v>5.4600000000000003E-2</v>
      </c>
      <c r="K30" s="26">
        <v>2.3E-2</v>
      </c>
      <c r="L30" s="26">
        <v>3.63</v>
      </c>
      <c r="M30" s="62"/>
      <c r="N30">
        <f t="shared" si="8"/>
        <v>61860</v>
      </c>
      <c r="O30">
        <f t="shared" si="9"/>
        <v>4088.4</v>
      </c>
      <c r="P30">
        <f t="shared" si="10"/>
        <v>3463</v>
      </c>
      <c r="Q30">
        <f t="shared" si="11"/>
        <v>0</v>
      </c>
      <c r="R30">
        <f t="shared" si="12"/>
        <v>58</v>
      </c>
      <c r="S30">
        <f t="shared" si="13"/>
        <v>54.6</v>
      </c>
      <c r="T30">
        <f t="shared" si="14"/>
        <v>23</v>
      </c>
      <c r="U30">
        <f t="shared" si="15"/>
        <v>3630</v>
      </c>
    </row>
    <row r="31" spans="1:33" x14ac:dyDescent="0.3">
      <c r="A31" s="18">
        <v>17</v>
      </c>
      <c r="B31" t="s">
        <v>26</v>
      </c>
      <c r="C31" s="27" t="s">
        <v>75</v>
      </c>
      <c r="D31" s="28">
        <v>560</v>
      </c>
      <c r="E31" s="23">
        <v>59.63</v>
      </c>
      <c r="F31" s="23">
        <v>5.2808200000000003</v>
      </c>
      <c r="G31" s="23">
        <v>3.706</v>
      </c>
      <c r="H31" s="23">
        <v>1.1299999999999999</v>
      </c>
      <c r="I31" s="23">
        <v>0.105</v>
      </c>
      <c r="J31" s="23">
        <v>5.2780000000000001E-2</v>
      </c>
      <c r="K31" s="23">
        <v>2.1999999999999999E-2</v>
      </c>
      <c r="L31" s="23">
        <v>4.1900000000000004</v>
      </c>
      <c r="M31" s="60">
        <f>SUMPRODUCT(D31:D42,E31:E42)/SUM(D31:D42)</f>
        <v>60.275679442508704</v>
      </c>
      <c r="N31">
        <f t="shared" si="8"/>
        <v>33392.800000000003</v>
      </c>
      <c r="O31">
        <f t="shared" si="9"/>
        <v>2957.2592</v>
      </c>
      <c r="P31">
        <f t="shared" si="10"/>
        <v>2075.36</v>
      </c>
      <c r="Q31">
        <f t="shared" si="11"/>
        <v>632.79999999999995</v>
      </c>
      <c r="R31">
        <f t="shared" si="12"/>
        <v>58.8</v>
      </c>
      <c r="S31">
        <f t="shared" si="13"/>
        <v>29.556799999999999</v>
      </c>
      <c r="T31">
        <f t="shared" si="14"/>
        <v>12.319999999999999</v>
      </c>
      <c r="U31">
        <f t="shared" si="15"/>
        <v>2346.4</v>
      </c>
    </row>
    <row r="32" spans="1:33" x14ac:dyDescent="0.3">
      <c r="A32" s="18">
        <v>18</v>
      </c>
      <c r="B32" t="s">
        <v>27</v>
      </c>
      <c r="C32" s="24" t="s">
        <v>75</v>
      </c>
      <c r="D32" s="20">
        <v>1000</v>
      </c>
      <c r="E32" s="2">
        <v>60.55</v>
      </c>
      <c r="F32" s="2">
        <v>5.1167100000000003</v>
      </c>
      <c r="G32" s="2">
        <v>3.798</v>
      </c>
      <c r="H32" s="2">
        <v>0</v>
      </c>
      <c r="I32" s="2">
        <v>8.3000000000000004E-2</v>
      </c>
      <c r="J32" s="2">
        <v>5.3319999999999999E-2</v>
      </c>
      <c r="K32" s="2">
        <v>2.1000000000000001E-2</v>
      </c>
      <c r="L32" s="2">
        <v>4.13</v>
      </c>
      <c r="M32" s="61"/>
      <c r="N32">
        <f t="shared" si="8"/>
        <v>60550</v>
      </c>
      <c r="O32">
        <f t="shared" si="9"/>
        <v>5116.71</v>
      </c>
      <c r="P32">
        <f t="shared" si="10"/>
        <v>3798</v>
      </c>
      <c r="Q32">
        <f t="shared" si="11"/>
        <v>0</v>
      </c>
      <c r="R32">
        <f t="shared" si="12"/>
        <v>83</v>
      </c>
      <c r="S32">
        <f t="shared" si="13"/>
        <v>53.32</v>
      </c>
      <c r="T32">
        <f t="shared" si="14"/>
        <v>21</v>
      </c>
      <c r="U32">
        <f t="shared" si="15"/>
        <v>4130</v>
      </c>
    </row>
    <row r="33" spans="1:21" x14ac:dyDescent="0.3">
      <c r="A33" s="18">
        <v>19</v>
      </c>
      <c r="B33" t="s">
        <v>28</v>
      </c>
      <c r="C33" s="24" t="s">
        <v>75</v>
      </c>
      <c r="D33" s="20">
        <v>1000</v>
      </c>
      <c r="E33" s="2">
        <v>59.3</v>
      </c>
      <c r="F33" s="2">
        <v>5.1612900000000002</v>
      </c>
      <c r="G33" s="2">
        <v>3.698</v>
      </c>
      <c r="H33" s="2">
        <v>1.7629999999999999</v>
      </c>
      <c r="I33" s="2">
        <v>0.11899999999999999</v>
      </c>
      <c r="J33" s="2">
        <v>5.1819999999999998E-2</v>
      </c>
      <c r="K33" s="2">
        <v>1.9E-2</v>
      </c>
      <c r="L33" s="2">
        <v>4.16</v>
      </c>
      <c r="M33" s="61"/>
      <c r="N33">
        <f t="shared" si="8"/>
        <v>59300</v>
      </c>
      <c r="O33">
        <f t="shared" si="9"/>
        <v>5161.29</v>
      </c>
      <c r="P33">
        <f t="shared" si="10"/>
        <v>3698</v>
      </c>
      <c r="Q33">
        <f t="shared" si="11"/>
        <v>1763</v>
      </c>
      <c r="R33">
        <f t="shared" si="12"/>
        <v>119</v>
      </c>
      <c r="S33">
        <f t="shared" si="13"/>
        <v>51.82</v>
      </c>
      <c r="T33">
        <f t="shared" si="14"/>
        <v>19</v>
      </c>
      <c r="U33">
        <f t="shared" si="15"/>
        <v>4160</v>
      </c>
    </row>
    <row r="34" spans="1:21" x14ac:dyDescent="0.3">
      <c r="A34" s="18">
        <v>20</v>
      </c>
      <c r="B34" t="s">
        <v>30</v>
      </c>
      <c r="C34" s="24" t="s">
        <v>75</v>
      </c>
      <c r="D34" s="20">
        <v>1400</v>
      </c>
      <c r="E34" s="2">
        <v>60.05</v>
      </c>
      <c r="F34" s="2">
        <v>4.7732599999999996</v>
      </c>
      <c r="G34" s="2">
        <v>4.1630000000000003</v>
      </c>
      <c r="H34" s="2">
        <v>2.5999999999999999E-2</v>
      </c>
      <c r="I34" s="2">
        <v>6.4000000000000001E-2</v>
      </c>
      <c r="J34" s="2">
        <v>5.7259999999999998E-2</v>
      </c>
      <c r="K34" s="2">
        <v>3.5999999999999997E-2</v>
      </c>
      <c r="L34" s="2">
        <v>4.78</v>
      </c>
      <c r="M34" s="61"/>
      <c r="N34">
        <f t="shared" si="8"/>
        <v>84070</v>
      </c>
      <c r="O34">
        <f t="shared" si="9"/>
        <v>6682.5639999999994</v>
      </c>
      <c r="P34">
        <f t="shared" si="10"/>
        <v>5828.2000000000007</v>
      </c>
      <c r="Q34">
        <f t="shared" si="11"/>
        <v>36.4</v>
      </c>
      <c r="R34">
        <f t="shared" si="12"/>
        <v>89.600000000000009</v>
      </c>
      <c r="S34">
        <f t="shared" si="13"/>
        <v>80.164000000000001</v>
      </c>
      <c r="T34">
        <f t="shared" si="14"/>
        <v>50.4</v>
      </c>
      <c r="U34">
        <f t="shared" si="15"/>
        <v>6692</v>
      </c>
    </row>
    <row r="35" spans="1:21" x14ac:dyDescent="0.3">
      <c r="A35" s="18">
        <v>21</v>
      </c>
      <c r="B35" t="s">
        <v>31</v>
      </c>
      <c r="C35" s="24" t="s">
        <v>75</v>
      </c>
      <c r="D35" s="20">
        <v>1000</v>
      </c>
      <c r="E35" s="2">
        <v>60.17</v>
      </c>
      <c r="F35" s="2">
        <v>4.8107499999999996</v>
      </c>
      <c r="G35" s="2">
        <v>4.1550000000000002</v>
      </c>
      <c r="H35" s="2">
        <v>0</v>
      </c>
      <c r="I35" s="2">
        <v>6.3E-2</v>
      </c>
      <c r="J35" s="2">
        <v>5.8680000000000003E-2</v>
      </c>
      <c r="K35" s="2">
        <v>3.3000000000000002E-2</v>
      </c>
      <c r="L35" s="2">
        <v>4.63</v>
      </c>
      <c r="M35" s="61"/>
      <c r="N35">
        <f t="shared" si="8"/>
        <v>60170</v>
      </c>
      <c r="O35">
        <f t="shared" si="9"/>
        <v>4810.75</v>
      </c>
      <c r="P35">
        <f t="shared" si="10"/>
        <v>4155</v>
      </c>
      <c r="Q35">
        <f t="shared" si="11"/>
        <v>0</v>
      </c>
      <c r="R35">
        <f t="shared" si="12"/>
        <v>63</v>
      </c>
      <c r="S35">
        <f t="shared" si="13"/>
        <v>58.68</v>
      </c>
      <c r="T35">
        <f t="shared" si="14"/>
        <v>33</v>
      </c>
      <c r="U35">
        <f t="shared" si="15"/>
        <v>4630</v>
      </c>
    </row>
    <row r="36" spans="1:21" x14ac:dyDescent="0.3">
      <c r="A36" s="18">
        <v>22</v>
      </c>
      <c r="B36" t="s">
        <v>33</v>
      </c>
      <c r="C36" s="24" t="s">
        <v>75</v>
      </c>
      <c r="D36" s="20">
        <v>560</v>
      </c>
      <c r="E36" s="2">
        <v>59.08</v>
      </c>
      <c r="F36" s="2">
        <v>4.6930100000000001</v>
      </c>
      <c r="G36" s="2">
        <v>4.2919999999999998</v>
      </c>
      <c r="H36" s="2">
        <v>1.3979999999999999</v>
      </c>
      <c r="I36" s="2">
        <v>8.7999999999999995E-2</v>
      </c>
      <c r="J36" s="2">
        <v>5.6120000000000003E-2</v>
      </c>
      <c r="K36" s="2">
        <v>1.9E-2</v>
      </c>
      <c r="L36" s="2">
        <v>4.76</v>
      </c>
      <c r="M36" s="61"/>
      <c r="N36">
        <f t="shared" si="8"/>
        <v>33084.799999999996</v>
      </c>
      <c r="O36">
        <f t="shared" si="9"/>
        <v>2628.0855999999999</v>
      </c>
      <c r="P36">
        <f t="shared" si="10"/>
        <v>2403.52</v>
      </c>
      <c r="Q36">
        <f t="shared" si="11"/>
        <v>782.88</v>
      </c>
      <c r="R36">
        <f t="shared" si="12"/>
        <v>49.279999999999994</v>
      </c>
      <c r="S36">
        <f t="shared" si="13"/>
        <v>31.427200000000003</v>
      </c>
      <c r="T36">
        <f t="shared" si="14"/>
        <v>10.64</v>
      </c>
      <c r="U36">
        <f t="shared" si="15"/>
        <v>2665.6</v>
      </c>
    </row>
    <row r="37" spans="1:21" x14ac:dyDescent="0.3">
      <c r="A37" s="18">
        <v>23</v>
      </c>
      <c r="B37" t="s">
        <v>34</v>
      </c>
      <c r="C37" s="24" t="s">
        <v>75</v>
      </c>
      <c r="D37" s="20">
        <v>1000</v>
      </c>
      <c r="E37" s="2">
        <v>59.35</v>
      </c>
      <c r="F37" s="2">
        <v>4.7016200000000001</v>
      </c>
      <c r="G37" s="2">
        <v>4.4340000000000002</v>
      </c>
      <c r="H37" s="2">
        <v>0.94299999999999995</v>
      </c>
      <c r="I37" s="2">
        <v>7.9000000000000001E-2</v>
      </c>
      <c r="J37" s="2">
        <v>5.6759999999999998E-2</v>
      </c>
      <c r="K37" s="2">
        <v>2.3E-2</v>
      </c>
      <c r="L37" s="2">
        <v>4.68</v>
      </c>
      <c r="M37" s="61"/>
      <c r="N37">
        <f t="shared" si="8"/>
        <v>59350</v>
      </c>
      <c r="O37">
        <f t="shared" si="9"/>
        <v>4701.62</v>
      </c>
      <c r="P37">
        <f t="shared" si="10"/>
        <v>4434</v>
      </c>
      <c r="Q37">
        <f t="shared" si="11"/>
        <v>943</v>
      </c>
      <c r="R37">
        <f t="shared" si="12"/>
        <v>79</v>
      </c>
      <c r="S37">
        <f t="shared" si="13"/>
        <v>56.76</v>
      </c>
      <c r="T37">
        <f t="shared" si="14"/>
        <v>23</v>
      </c>
      <c r="U37">
        <f t="shared" si="15"/>
        <v>4680</v>
      </c>
    </row>
    <row r="38" spans="1:21" x14ac:dyDescent="0.3">
      <c r="A38" s="18">
        <v>24</v>
      </c>
      <c r="B38" t="s">
        <v>35</v>
      </c>
      <c r="C38" s="24" t="s">
        <v>75</v>
      </c>
      <c r="D38" s="20">
        <v>1000</v>
      </c>
      <c r="E38" s="2">
        <v>59.95</v>
      </c>
      <c r="F38" s="2">
        <v>4.7279799999999996</v>
      </c>
      <c r="G38" s="2">
        <v>4.3250000000000002</v>
      </c>
      <c r="H38" s="2">
        <v>0.16300000000000001</v>
      </c>
      <c r="I38" s="2">
        <v>6.8000000000000005E-2</v>
      </c>
      <c r="J38" s="2">
        <v>5.7660000000000003E-2</v>
      </c>
      <c r="K38" s="2">
        <v>1.7000000000000001E-2</v>
      </c>
      <c r="L38" s="2">
        <v>4.6900000000000004</v>
      </c>
      <c r="M38" s="61"/>
      <c r="N38">
        <f t="shared" si="8"/>
        <v>59950</v>
      </c>
      <c r="O38">
        <f t="shared" si="9"/>
        <v>4727.9799999999996</v>
      </c>
      <c r="P38">
        <f t="shared" si="10"/>
        <v>4325</v>
      </c>
      <c r="Q38">
        <f t="shared" si="11"/>
        <v>163</v>
      </c>
      <c r="R38">
        <f t="shared" si="12"/>
        <v>68</v>
      </c>
      <c r="S38">
        <f t="shared" si="13"/>
        <v>57.660000000000004</v>
      </c>
      <c r="T38">
        <f t="shared" si="14"/>
        <v>17</v>
      </c>
      <c r="U38">
        <f t="shared" si="15"/>
        <v>4690</v>
      </c>
    </row>
    <row r="39" spans="1:21" x14ac:dyDescent="0.3">
      <c r="A39" s="18">
        <v>25</v>
      </c>
      <c r="B39" t="s">
        <v>37</v>
      </c>
      <c r="C39" s="24" t="s">
        <v>75</v>
      </c>
      <c r="D39" s="20">
        <v>1000</v>
      </c>
      <c r="E39" s="2">
        <v>61.37</v>
      </c>
      <c r="F39" s="2">
        <v>4.3361299999999998</v>
      </c>
      <c r="G39" s="2">
        <v>3.6070000000000002</v>
      </c>
      <c r="H39" s="2">
        <v>0</v>
      </c>
      <c r="I39" s="2">
        <v>6.2E-2</v>
      </c>
      <c r="J39" s="2">
        <v>4.6039999999999998E-2</v>
      </c>
      <c r="K39" s="2">
        <v>2.4E-2</v>
      </c>
      <c r="L39" s="2">
        <v>3.82</v>
      </c>
      <c r="M39" s="61"/>
      <c r="N39">
        <f t="shared" si="8"/>
        <v>61370</v>
      </c>
      <c r="O39">
        <f t="shared" si="9"/>
        <v>4336.13</v>
      </c>
      <c r="P39">
        <f t="shared" si="10"/>
        <v>3607</v>
      </c>
      <c r="Q39">
        <f t="shared" si="11"/>
        <v>0</v>
      </c>
      <c r="R39">
        <f t="shared" si="12"/>
        <v>62</v>
      </c>
      <c r="S39">
        <f t="shared" si="13"/>
        <v>46.04</v>
      </c>
      <c r="T39">
        <f t="shared" si="14"/>
        <v>24</v>
      </c>
      <c r="U39">
        <f t="shared" si="15"/>
        <v>3820</v>
      </c>
    </row>
    <row r="40" spans="1:21" x14ac:dyDescent="0.3">
      <c r="A40" s="18">
        <v>26</v>
      </c>
      <c r="B40" t="s">
        <v>38</v>
      </c>
      <c r="C40" s="24" t="s">
        <v>75</v>
      </c>
      <c r="D40" s="20">
        <v>1400</v>
      </c>
      <c r="E40" s="2">
        <v>61.31</v>
      </c>
      <c r="F40" s="2">
        <v>4.3899400000000002</v>
      </c>
      <c r="G40" s="2">
        <v>3.641</v>
      </c>
      <c r="H40" s="2">
        <v>0</v>
      </c>
      <c r="I40" s="2">
        <v>6.4000000000000001E-2</v>
      </c>
      <c r="J40" s="2">
        <v>4.691E-2</v>
      </c>
      <c r="K40" s="2">
        <v>2.3E-2</v>
      </c>
      <c r="L40" s="2">
        <v>3.8</v>
      </c>
      <c r="M40" s="61"/>
      <c r="N40">
        <f t="shared" si="8"/>
        <v>85834</v>
      </c>
      <c r="O40">
        <f t="shared" si="9"/>
        <v>6145.9160000000002</v>
      </c>
      <c r="P40">
        <f t="shared" si="10"/>
        <v>5097.3999999999996</v>
      </c>
      <c r="Q40">
        <f t="shared" si="11"/>
        <v>0</v>
      </c>
      <c r="R40">
        <f t="shared" si="12"/>
        <v>89.600000000000009</v>
      </c>
      <c r="S40">
        <f t="shared" si="13"/>
        <v>65.674000000000007</v>
      </c>
      <c r="T40">
        <f t="shared" si="14"/>
        <v>32.200000000000003</v>
      </c>
      <c r="U40">
        <f t="shared" si="15"/>
        <v>5320</v>
      </c>
    </row>
    <row r="41" spans="1:21" x14ac:dyDescent="0.3">
      <c r="A41" s="18">
        <v>27</v>
      </c>
      <c r="B41" t="s">
        <v>40</v>
      </c>
      <c r="C41" s="24" t="s">
        <v>75</v>
      </c>
      <c r="D41" s="20">
        <v>560</v>
      </c>
      <c r="E41" s="2">
        <v>60.72</v>
      </c>
      <c r="F41" s="2">
        <v>4.4152699999999996</v>
      </c>
      <c r="G41" s="2">
        <v>3.847</v>
      </c>
      <c r="H41" s="2">
        <v>0</v>
      </c>
      <c r="I41" s="2">
        <v>5.8999999999999997E-2</v>
      </c>
      <c r="J41" s="2">
        <v>5.8869999999999999E-2</v>
      </c>
      <c r="K41" s="2">
        <v>1.6E-2</v>
      </c>
      <c r="L41" s="2">
        <v>4.57</v>
      </c>
      <c r="M41" s="61"/>
      <c r="N41">
        <f t="shared" si="8"/>
        <v>34003.199999999997</v>
      </c>
      <c r="O41">
        <f t="shared" si="9"/>
        <v>2472.5511999999999</v>
      </c>
      <c r="P41">
        <f t="shared" si="10"/>
        <v>2154.3200000000002</v>
      </c>
      <c r="Q41">
        <f t="shared" si="11"/>
        <v>0</v>
      </c>
      <c r="R41">
        <f t="shared" si="12"/>
        <v>33.04</v>
      </c>
      <c r="S41">
        <f t="shared" si="13"/>
        <v>32.967199999999998</v>
      </c>
      <c r="T41">
        <f t="shared" si="14"/>
        <v>8.9600000000000009</v>
      </c>
      <c r="U41">
        <f t="shared" si="15"/>
        <v>2559.2000000000003</v>
      </c>
    </row>
    <row r="42" spans="1:21" ht="15" thickBot="1" x14ac:dyDescent="0.35">
      <c r="A42" s="18">
        <v>28</v>
      </c>
      <c r="B42" t="s">
        <v>41</v>
      </c>
      <c r="C42" s="25" t="s">
        <v>75</v>
      </c>
      <c r="D42" s="29">
        <v>1000</v>
      </c>
      <c r="E42" s="26">
        <v>60.89</v>
      </c>
      <c r="F42" s="26">
        <v>4.4382200000000003</v>
      </c>
      <c r="G42" s="26">
        <v>3.5630000000000002</v>
      </c>
      <c r="H42" s="26">
        <v>0</v>
      </c>
      <c r="I42" s="26">
        <v>5.7000000000000002E-2</v>
      </c>
      <c r="J42" s="26">
        <v>5.8360000000000002E-2</v>
      </c>
      <c r="K42" s="26">
        <v>1.6E-2</v>
      </c>
      <c r="L42" s="26">
        <v>4.57</v>
      </c>
      <c r="M42" s="62"/>
      <c r="N42">
        <f t="shared" si="8"/>
        <v>60890</v>
      </c>
      <c r="O42">
        <f t="shared" si="9"/>
        <v>4438.22</v>
      </c>
      <c r="P42">
        <f t="shared" si="10"/>
        <v>3563</v>
      </c>
      <c r="Q42">
        <f t="shared" si="11"/>
        <v>0</v>
      </c>
      <c r="R42">
        <f t="shared" si="12"/>
        <v>57</v>
      </c>
      <c r="S42">
        <f t="shared" si="13"/>
        <v>58.36</v>
      </c>
      <c r="T42">
        <f t="shared" si="14"/>
        <v>16</v>
      </c>
      <c r="U42">
        <f t="shared" si="15"/>
        <v>4570</v>
      </c>
    </row>
    <row r="43" spans="1:21" x14ac:dyDescent="0.3">
      <c r="A43" s="18">
        <v>36</v>
      </c>
      <c r="B43" t="s">
        <v>53</v>
      </c>
      <c r="C43" s="27" t="s">
        <v>75</v>
      </c>
      <c r="D43" s="28">
        <v>1400</v>
      </c>
      <c r="E43" s="23">
        <v>60.52</v>
      </c>
      <c r="F43" s="23">
        <v>5.11869</v>
      </c>
      <c r="G43" s="23">
        <v>3.73</v>
      </c>
      <c r="H43" s="23">
        <v>0</v>
      </c>
      <c r="I43" s="23">
        <v>7.2999999999999995E-2</v>
      </c>
      <c r="J43" s="23">
        <v>4.6289999999999998E-2</v>
      </c>
      <c r="K43" s="23">
        <v>2.1999999999999999E-2</v>
      </c>
      <c r="L43" s="23">
        <v>4.24</v>
      </c>
      <c r="M43" s="60">
        <f>SUMPRODUCT(D43:D53,E43:E53)/SUM(D43:D53)</f>
        <v>60.880333333333333</v>
      </c>
      <c r="N43">
        <f t="shared" si="8"/>
        <v>84728</v>
      </c>
      <c r="O43">
        <f t="shared" si="9"/>
        <v>7166.1660000000002</v>
      </c>
      <c r="P43">
        <f t="shared" si="10"/>
        <v>5222</v>
      </c>
      <c r="Q43">
        <f t="shared" si="11"/>
        <v>0</v>
      </c>
      <c r="R43">
        <f t="shared" si="12"/>
        <v>102.19999999999999</v>
      </c>
      <c r="S43">
        <f t="shared" si="13"/>
        <v>64.805999999999997</v>
      </c>
      <c r="T43">
        <f t="shared" si="14"/>
        <v>30.799999999999997</v>
      </c>
      <c r="U43">
        <f t="shared" si="15"/>
        <v>5936</v>
      </c>
    </row>
    <row r="44" spans="1:21" x14ac:dyDescent="0.3">
      <c r="A44" s="18">
        <v>37</v>
      </c>
      <c r="B44" t="s">
        <v>54</v>
      </c>
      <c r="C44" s="24" t="s">
        <v>75</v>
      </c>
      <c r="D44" s="20">
        <v>1000</v>
      </c>
      <c r="E44" s="2">
        <v>60.81</v>
      </c>
      <c r="F44" s="2">
        <v>4.8789699999999998</v>
      </c>
      <c r="G44" s="2">
        <v>3.577</v>
      </c>
      <c r="H44" s="2">
        <v>0</v>
      </c>
      <c r="I44" s="2">
        <v>6.9000000000000006E-2</v>
      </c>
      <c r="J44" s="2">
        <v>4.5769999999999998E-2</v>
      </c>
      <c r="K44" s="2">
        <v>4.3999999999999997E-2</v>
      </c>
      <c r="L44" s="2">
        <v>4.21</v>
      </c>
      <c r="M44" s="61"/>
      <c r="N44">
        <f t="shared" si="8"/>
        <v>60810</v>
      </c>
      <c r="O44">
        <f t="shared" si="9"/>
        <v>4878.97</v>
      </c>
      <c r="P44">
        <f t="shared" si="10"/>
        <v>3577</v>
      </c>
      <c r="Q44">
        <f t="shared" si="11"/>
        <v>0</v>
      </c>
      <c r="R44">
        <f t="shared" si="12"/>
        <v>69</v>
      </c>
      <c r="S44">
        <f t="shared" si="13"/>
        <v>45.769999999999996</v>
      </c>
      <c r="T44">
        <f t="shared" si="14"/>
        <v>44</v>
      </c>
      <c r="U44">
        <f t="shared" si="15"/>
        <v>4210</v>
      </c>
    </row>
    <row r="45" spans="1:21" x14ac:dyDescent="0.3">
      <c r="A45" s="18">
        <v>38</v>
      </c>
      <c r="B45" t="s">
        <v>56</v>
      </c>
      <c r="C45" s="24" t="s">
        <v>75</v>
      </c>
      <c r="D45" s="20">
        <v>800</v>
      </c>
      <c r="E45" s="2">
        <v>59.15</v>
      </c>
      <c r="F45" s="2">
        <v>6.5091299999999999</v>
      </c>
      <c r="G45" s="2">
        <v>4.2149999999999999</v>
      </c>
      <c r="H45" s="2">
        <v>8.0000000000000002E-3</v>
      </c>
      <c r="I45" s="2">
        <v>7.1999999999999995E-2</v>
      </c>
      <c r="J45" s="2">
        <v>4.6870000000000002E-2</v>
      </c>
      <c r="K45" s="2">
        <v>2.8000000000000001E-2</v>
      </c>
      <c r="L45" s="2">
        <v>4.28</v>
      </c>
      <c r="M45" s="61"/>
      <c r="N45">
        <f t="shared" si="8"/>
        <v>47320</v>
      </c>
      <c r="O45">
        <f t="shared" si="9"/>
        <v>5207.3040000000001</v>
      </c>
      <c r="P45">
        <f t="shared" si="10"/>
        <v>3372</v>
      </c>
      <c r="Q45">
        <f t="shared" si="11"/>
        <v>6.4</v>
      </c>
      <c r="R45">
        <f t="shared" si="12"/>
        <v>57.599999999999994</v>
      </c>
      <c r="S45">
        <f t="shared" si="13"/>
        <v>37.496000000000002</v>
      </c>
      <c r="T45">
        <f t="shared" si="14"/>
        <v>22.400000000000002</v>
      </c>
      <c r="U45">
        <f t="shared" si="15"/>
        <v>3424</v>
      </c>
    </row>
    <row r="46" spans="1:21" x14ac:dyDescent="0.3">
      <c r="A46" s="18">
        <v>39</v>
      </c>
      <c r="B46" t="s">
        <v>57</v>
      </c>
      <c r="C46" s="24" t="s">
        <v>75</v>
      </c>
      <c r="D46" s="20">
        <v>1000</v>
      </c>
      <c r="E46" s="2">
        <v>59.43</v>
      </c>
      <c r="F46" s="2">
        <v>6.4749499999999998</v>
      </c>
      <c r="G46" s="2">
        <v>4.0049999999999999</v>
      </c>
      <c r="H46" s="2">
        <v>0</v>
      </c>
      <c r="I46" s="2">
        <v>7.2999999999999995E-2</v>
      </c>
      <c r="J46" s="2">
        <v>4.614E-2</v>
      </c>
      <c r="K46" s="2">
        <v>2.5999999999999999E-2</v>
      </c>
      <c r="L46" s="2">
        <v>4.12</v>
      </c>
      <c r="M46" s="61"/>
      <c r="N46">
        <f t="shared" si="8"/>
        <v>59430</v>
      </c>
      <c r="O46">
        <f t="shared" si="9"/>
        <v>6474.95</v>
      </c>
      <c r="P46">
        <f t="shared" si="10"/>
        <v>4005</v>
      </c>
      <c r="Q46">
        <f t="shared" si="11"/>
        <v>0</v>
      </c>
      <c r="R46">
        <f t="shared" si="12"/>
        <v>73</v>
      </c>
      <c r="S46">
        <f t="shared" si="13"/>
        <v>46.14</v>
      </c>
      <c r="T46">
        <f t="shared" si="14"/>
        <v>26</v>
      </c>
      <c r="U46">
        <f t="shared" si="15"/>
        <v>4120</v>
      </c>
    </row>
    <row r="47" spans="1:21" x14ac:dyDescent="0.3">
      <c r="A47" s="18">
        <v>40</v>
      </c>
      <c r="B47" t="s">
        <v>58</v>
      </c>
      <c r="C47" s="24" t="s">
        <v>75</v>
      </c>
      <c r="D47" s="20">
        <v>1000</v>
      </c>
      <c r="E47" s="2">
        <v>59.07</v>
      </c>
      <c r="F47" s="2">
        <v>6.6614399999999998</v>
      </c>
      <c r="G47" s="2">
        <v>4.1070000000000002</v>
      </c>
      <c r="H47" s="2">
        <v>0</v>
      </c>
      <c r="I47" s="2">
        <v>7.2999999999999995E-2</v>
      </c>
      <c r="J47" s="2">
        <v>4.6739999999999997E-2</v>
      </c>
      <c r="K47" s="2">
        <v>2.7E-2</v>
      </c>
      <c r="L47" s="2">
        <v>4.3099999999999996</v>
      </c>
      <c r="M47" s="61"/>
      <c r="N47">
        <f t="shared" si="8"/>
        <v>59070</v>
      </c>
      <c r="O47">
        <f t="shared" si="9"/>
        <v>6661.44</v>
      </c>
      <c r="P47">
        <f t="shared" si="10"/>
        <v>4107</v>
      </c>
      <c r="Q47">
        <f t="shared" si="11"/>
        <v>0</v>
      </c>
      <c r="R47">
        <f t="shared" si="12"/>
        <v>73</v>
      </c>
      <c r="S47">
        <f t="shared" si="13"/>
        <v>46.739999999999995</v>
      </c>
      <c r="T47">
        <f t="shared" si="14"/>
        <v>27</v>
      </c>
      <c r="U47">
        <f t="shared" si="15"/>
        <v>4310</v>
      </c>
    </row>
    <row r="48" spans="1:21" x14ac:dyDescent="0.3">
      <c r="A48" s="18">
        <v>41</v>
      </c>
      <c r="B48" t="s">
        <v>60</v>
      </c>
      <c r="C48" s="24" t="s">
        <v>75</v>
      </c>
      <c r="D48" s="20">
        <v>1400</v>
      </c>
      <c r="E48" s="2">
        <v>61.06</v>
      </c>
      <c r="F48" s="2">
        <v>5.1468800000000003</v>
      </c>
      <c r="G48" s="2">
        <v>3.6040000000000001</v>
      </c>
      <c r="H48" s="2">
        <v>0</v>
      </c>
      <c r="I48" s="2">
        <v>7.0999999999999994E-2</v>
      </c>
      <c r="J48" s="2">
        <v>4.1520000000000001E-2</v>
      </c>
      <c r="K48" s="2">
        <v>0.02</v>
      </c>
      <c r="L48" s="2">
        <v>3.6</v>
      </c>
      <c r="M48" s="61"/>
      <c r="N48">
        <f t="shared" si="8"/>
        <v>85484</v>
      </c>
      <c r="O48">
        <f t="shared" si="9"/>
        <v>7205.6320000000005</v>
      </c>
      <c r="P48">
        <f t="shared" si="10"/>
        <v>5045.6000000000004</v>
      </c>
      <c r="Q48">
        <f t="shared" si="11"/>
        <v>0</v>
      </c>
      <c r="R48">
        <f t="shared" si="12"/>
        <v>99.399999999999991</v>
      </c>
      <c r="S48">
        <f t="shared" si="13"/>
        <v>58.128</v>
      </c>
      <c r="T48">
        <f t="shared" si="14"/>
        <v>28</v>
      </c>
      <c r="U48">
        <f t="shared" si="15"/>
        <v>5040</v>
      </c>
    </row>
    <row r="49" spans="1:27" x14ac:dyDescent="0.3">
      <c r="A49" s="18">
        <v>42</v>
      </c>
      <c r="B49" t="s">
        <v>61</v>
      </c>
      <c r="C49" s="24" t="s">
        <v>75</v>
      </c>
      <c r="D49" s="20">
        <v>1000</v>
      </c>
      <c r="E49" s="2">
        <v>61.13</v>
      </c>
      <c r="F49" s="2">
        <v>4.9033499999999997</v>
      </c>
      <c r="G49" s="2">
        <v>3.6179999999999999</v>
      </c>
      <c r="H49" s="2">
        <v>0</v>
      </c>
      <c r="I49" s="2">
        <v>7.0000000000000007E-2</v>
      </c>
      <c r="J49" s="2">
        <v>4.1160000000000002E-2</v>
      </c>
      <c r="K49" s="2">
        <v>2.1000000000000001E-2</v>
      </c>
      <c r="L49" s="2">
        <v>3.71</v>
      </c>
      <c r="M49" s="61"/>
      <c r="N49">
        <f t="shared" si="8"/>
        <v>61130</v>
      </c>
      <c r="O49">
        <f t="shared" si="9"/>
        <v>4903.3499999999995</v>
      </c>
      <c r="P49">
        <f t="shared" si="10"/>
        <v>3618</v>
      </c>
      <c r="Q49">
        <f t="shared" si="11"/>
        <v>0</v>
      </c>
      <c r="R49">
        <f t="shared" si="12"/>
        <v>70</v>
      </c>
      <c r="S49">
        <f t="shared" si="13"/>
        <v>41.160000000000004</v>
      </c>
      <c r="T49">
        <f t="shared" si="14"/>
        <v>21</v>
      </c>
      <c r="U49">
        <f t="shared" si="15"/>
        <v>3710</v>
      </c>
    </row>
    <row r="50" spans="1:27" x14ac:dyDescent="0.3">
      <c r="A50" s="18">
        <v>43</v>
      </c>
      <c r="B50" t="s">
        <v>63</v>
      </c>
      <c r="C50" s="24" t="s">
        <v>75</v>
      </c>
      <c r="D50" s="20">
        <v>1000</v>
      </c>
      <c r="E50" s="2">
        <v>62.18</v>
      </c>
      <c r="F50" s="2">
        <v>3.79379</v>
      </c>
      <c r="G50" s="2">
        <v>3.052</v>
      </c>
      <c r="H50" s="2">
        <v>0</v>
      </c>
      <c r="I50" s="2">
        <v>5.8000000000000003E-2</v>
      </c>
      <c r="J50" s="2">
        <v>4.4659999999999998E-2</v>
      </c>
      <c r="K50" s="2">
        <v>1.6E-2</v>
      </c>
      <c r="L50" s="2">
        <v>3.87</v>
      </c>
      <c r="M50" s="61"/>
      <c r="N50">
        <f t="shared" si="8"/>
        <v>62180</v>
      </c>
      <c r="O50">
        <f t="shared" si="9"/>
        <v>3793.79</v>
      </c>
      <c r="P50">
        <f t="shared" si="10"/>
        <v>3052</v>
      </c>
      <c r="Q50">
        <f t="shared" si="11"/>
        <v>0</v>
      </c>
      <c r="R50">
        <f t="shared" si="12"/>
        <v>58</v>
      </c>
      <c r="S50">
        <f t="shared" si="13"/>
        <v>44.66</v>
      </c>
      <c r="T50">
        <f t="shared" si="14"/>
        <v>16</v>
      </c>
      <c r="U50">
        <f t="shared" si="15"/>
        <v>3870</v>
      </c>
    </row>
    <row r="51" spans="1:27" x14ac:dyDescent="0.3">
      <c r="A51" s="18">
        <v>44</v>
      </c>
      <c r="B51" t="s">
        <v>64</v>
      </c>
      <c r="C51" s="24" t="s">
        <v>75</v>
      </c>
      <c r="D51" s="20">
        <v>1000</v>
      </c>
      <c r="E51" s="2">
        <v>62.03</v>
      </c>
      <c r="F51" s="2">
        <v>4.2109899999999998</v>
      </c>
      <c r="G51" s="2">
        <v>3.1469999999999998</v>
      </c>
      <c r="H51" s="2">
        <v>0</v>
      </c>
      <c r="I51" s="2">
        <v>6.0999999999999999E-2</v>
      </c>
      <c r="J51" s="2">
        <v>4.3580000000000001E-2</v>
      </c>
      <c r="K51" s="2">
        <v>1.0999999999999999E-2</v>
      </c>
      <c r="L51" s="2">
        <v>3.65</v>
      </c>
      <c r="M51" s="61"/>
      <c r="N51">
        <f t="shared" si="8"/>
        <v>62030</v>
      </c>
      <c r="O51">
        <f t="shared" si="9"/>
        <v>4210.99</v>
      </c>
      <c r="P51">
        <f t="shared" si="10"/>
        <v>3147</v>
      </c>
      <c r="Q51">
        <f t="shared" si="11"/>
        <v>0</v>
      </c>
      <c r="R51">
        <f t="shared" si="12"/>
        <v>61</v>
      </c>
      <c r="S51">
        <f t="shared" si="13"/>
        <v>43.58</v>
      </c>
      <c r="T51">
        <f t="shared" si="14"/>
        <v>11</v>
      </c>
      <c r="U51">
        <f t="shared" si="15"/>
        <v>3650</v>
      </c>
    </row>
    <row r="52" spans="1:27" x14ac:dyDescent="0.3">
      <c r="A52" s="18">
        <v>45</v>
      </c>
      <c r="B52" t="s">
        <v>66</v>
      </c>
      <c r="C52" s="24" t="s">
        <v>75</v>
      </c>
      <c r="D52" s="20">
        <v>1400</v>
      </c>
      <c r="E52" s="2">
        <v>61.73</v>
      </c>
      <c r="F52" s="2">
        <v>4.7229299999999999</v>
      </c>
      <c r="G52" s="2">
        <v>3.1669999999999998</v>
      </c>
      <c r="H52" s="2">
        <v>0.186</v>
      </c>
      <c r="I52" s="2">
        <v>7.1999999999999995E-2</v>
      </c>
      <c r="J52" s="2">
        <v>3.9410000000000001E-2</v>
      </c>
      <c r="K52" s="2">
        <v>1.9E-2</v>
      </c>
      <c r="L52" s="2">
        <v>3.34</v>
      </c>
      <c r="M52" s="61"/>
      <c r="N52">
        <f t="shared" si="8"/>
        <v>86422</v>
      </c>
      <c r="O52">
        <f t="shared" si="9"/>
        <v>6612.1019999999999</v>
      </c>
      <c r="P52">
        <f t="shared" si="10"/>
        <v>4433.8</v>
      </c>
      <c r="Q52">
        <f t="shared" si="11"/>
        <v>260.39999999999998</v>
      </c>
      <c r="R52">
        <f t="shared" si="12"/>
        <v>100.8</v>
      </c>
      <c r="S52">
        <f t="shared" si="13"/>
        <v>55.173999999999999</v>
      </c>
      <c r="T52">
        <f t="shared" si="14"/>
        <v>26.599999999999998</v>
      </c>
      <c r="U52">
        <f t="shared" si="15"/>
        <v>4676</v>
      </c>
    </row>
    <row r="53" spans="1:27" ht="15" thickBot="1" x14ac:dyDescent="0.35">
      <c r="A53" s="18">
        <v>46</v>
      </c>
      <c r="B53" t="s">
        <v>67</v>
      </c>
      <c r="C53" s="25" t="s">
        <v>75</v>
      </c>
      <c r="D53" s="29">
        <v>1000</v>
      </c>
      <c r="E53" s="26">
        <v>61.96</v>
      </c>
      <c r="F53" s="26">
        <v>4.2289399999999997</v>
      </c>
      <c r="G53" s="26">
        <v>3.0409999999999999</v>
      </c>
      <c r="H53" s="26">
        <v>0.48</v>
      </c>
      <c r="I53" s="26">
        <v>7.5999999999999998E-2</v>
      </c>
      <c r="J53" s="26">
        <v>3.8600000000000002E-2</v>
      </c>
      <c r="K53" s="26">
        <v>0.02</v>
      </c>
      <c r="L53" s="26">
        <v>3.36</v>
      </c>
      <c r="M53" s="62"/>
      <c r="N53">
        <f t="shared" si="8"/>
        <v>61960</v>
      </c>
      <c r="O53">
        <f t="shared" si="9"/>
        <v>4228.9399999999996</v>
      </c>
      <c r="P53">
        <f t="shared" si="10"/>
        <v>3041</v>
      </c>
      <c r="Q53">
        <f t="shared" si="11"/>
        <v>480</v>
      </c>
      <c r="R53">
        <f t="shared" si="12"/>
        <v>76</v>
      </c>
      <c r="S53">
        <f t="shared" si="13"/>
        <v>38.6</v>
      </c>
      <c r="T53">
        <f t="shared" si="14"/>
        <v>20</v>
      </c>
      <c r="U53">
        <f t="shared" si="15"/>
        <v>3360</v>
      </c>
    </row>
    <row r="54" spans="1:27" x14ac:dyDescent="0.3">
      <c r="C54" s="5"/>
      <c r="D54" s="6"/>
      <c r="E54" s="2"/>
      <c r="F54" s="2"/>
      <c r="G54" s="2"/>
      <c r="H54" s="2"/>
      <c r="I54" s="2"/>
      <c r="J54" s="2"/>
      <c r="K54" s="2"/>
      <c r="L54" s="2"/>
    </row>
    <row r="55" spans="1:27" x14ac:dyDescent="0.3">
      <c r="C55" s="5"/>
      <c r="D55" s="6"/>
      <c r="E55" s="2"/>
      <c r="F55" s="2"/>
      <c r="G55" s="2"/>
      <c r="H55" s="2"/>
      <c r="I55" s="2"/>
      <c r="J55" s="2"/>
      <c r="K55" s="2"/>
      <c r="L55" s="2"/>
    </row>
    <row r="56" spans="1:27" x14ac:dyDescent="0.3">
      <c r="C56" s="3" t="s">
        <v>79</v>
      </c>
      <c r="D56" s="17" t="s">
        <v>78</v>
      </c>
      <c r="E56" s="7" t="s">
        <v>5</v>
      </c>
      <c r="F56" s="8" t="s">
        <v>6</v>
      </c>
      <c r="G56" s="9" t="s">
        <v>7</v>
      </c>
      <c r="H56" s="10" t="s">
        <v>8</v>
      </c>
      <c r="I56" s="11" t="s">
        <v>9</v>
      </c>
      <c r="J56" s="12" t="s">
        <v>10</v>
      </c>
      <c r="K56" s="13" t="s">
        <v>11</v>
      </c>
      <c r="L56" s="14" t="s">
        <v>12</v>
      </c>
    </row>
    <row r="57" spans="1:27" x14ac:dyDescent="0.3">
      <c r="C57" s="5" t="s">
        <v>77</v>
      </c>
      <c r="D57" s="16">
        <f>SUMIF(C7:C53,"Fines",D7:D53)</f>
        <v>49600</v>
      </c>
      <c r="E57" s="2">
        <f>N57/$D$57</f>
        <v>60.794955645161295</v>
      </c>
      <c r="F57" s="2">
        <f t="shared" ref="F57:L57" si="17">O57/$D$57</f>
        <v>4.7174525241935497</v>
      </c>
      <c r="G57" s="2">
        <f t="shared" si="17"/>
        <v>3.7074903225806457</v>
      </c>
      <c r="H57" s="2">
        <f t="shared" si="17"/>
        <v>0.10234919354838709</v>
      </c>
      <c r="I57" s="2">
        <f t="shared" si="17"/>
        <v>6.1441129032258068E-2</v>
      </c>
      <c r="J57" s="2">
        <f t="shared" si="17"/>
        <v>4.9817991935483856E-2</v>
      </c>
      <c r="K57" s="2">
        <f t="shared" si="17"/>
        <v>2.0162096774193547E-2</v>
      </c>
      <c r="L57" s="2">
        <f t="shared" si="17"/>
        <v>4.1731693548387101</v>
      </c>
      <c r="N57">
        <f t="shared" ref="N57:U57" si="18">SUMIF($C$7:$C$53,"Fines",N7:N53)</f>
        <v>3015429.8000000003</v>
      </c>
      <c r="O57">
        <f t="shared" si="18"/>
        <v>233985.64520000006</v>
      </c>
      <c r="P57">
        <f t="shared" si="18"/>
        <v>183891.52000000002</v>
      </c>
      <c r="Q57">
        <f t="shared" si="18"/>
        <v>5076.5199999999995</v>
      </c>
      <c r="R57">
        <f t="shared" si="18"/>
        <v>3047.48</v>
      </c>
      <c r="S57">
        <f t="shared" si="18"/>
        <v>2470.9723999999992</v>
      </c>
      <c r="T57">
        <f t="shared" si="18"/>
        <v>1000.04</v>
      </c>
      <c r="U57">
        <f t="shared" si="18"/>
        <v>206989.2</v>
      </c>
    </row>
    <row r="58" spans="1:27" x14ac:dyDescent="0.3">
      <c r="D58" s="17">
        <f>SUM(D57:D57)</f>
        <v>49600</v>
      </c>
    </row>
    <row r="59" spans="1:27" x14ac:dyDescent="0.3">
      <c r="Z59">
        <v>1000</v>
      </c>
      <c r="AA59">
        <v>60.24</v>
      </c>
    </row>
    <row r="60" spans="1:27" x14ac:dyDescent="0.3">
      <c r="Z60">
        <v>720</v>
      </c>
      <c r="AA60">
        <v>59.63</v>
      </c>
    </row>
    <row r="61" spans="1:27" x14ac:dyDescent="0.3">
      <c r="Z61">
        <v>1000</v>
      </c>
      <c r="AA61">
        <v>59.51</v>
      </c>
    </row>
    <row r="62" spans="1:27" x14ac:dyDescent="0.3">
      <c r="V62">
        <v>1200</v>
      </c>
      <c r="W62">
        <v>60.41</v>
      </c>
      <c r="Z62">
        <v>1000</v>
      </c>
      <c r="AA62">
        <v>60.4</v>
      </c>
    </row>
    <row r="63" spans="1:27" x14ac:dyDescent="0.3">
      <c r="V63">
        <v>1200</v>
      </c>
      <c r="W63">
        <v>60.27</v>
      </c>
      <c r="Z63">
        <v>1400</v>
      </c>
      <c r="AA63">
        <v>61.89</v>
      </c>
    </row>
    <row r="64" spans="1:27" x14ac:dyDescent="0.3">
      <c r="V64">
        <v>1200</v>
      </c>
      <c r="W64">
        <v>60.395000000000003</v>
      </c>
      <c r="Z64">
        <v>1000</v>
      </c>
      <c r="AA64">
        <v>61.86</v>
      </c>
    </row>
    <row r="65" spans="22:30" x14ac:dyDescent="0.3">
      <c r="V65">
        <v>1000</v>
      </c>
      <c r="W65">
        <v>60.47</v>
      </c>
      <c r="Z65">
        <v>560</v>
      </c>
      <c r="AA65">
        <v>59.63</v>
      </c>
    </row>
    <row r="66" spans="22:30" x14ac:dyDescent="0.3">
      <c r="V66">
        <v>1000</v>
      </c>
      <c r="W66">
        <v>61.372</v>
      </c>
      <c r="Z66">
        <v>1000</v>
      </c>
      <c r="AA66">
        <v>60.55</v>
      </c>
    </row>
    <row r="67" spans="22:30" x14ac:dyDescent="0.3">
      <c r="V67">
        <v>1400</v>
      </c>
      <c r="W67">
        <v>62.500999999999998</v>
      </c>
      <c r="Z67">
        <v>1000</v>
      </c>
      <c r="AA67">
        <v>59.3</v>
      </c>
    </row>
    <row r="68" spans="22:30" x14ac:dyDescent="0.3">
      <c r="V68">
        <v>1000</v>
      </c>
      <c r="W68">
        <v>62.725999999999999</v>
      </c>
      <c r="Z68">
        <v>1400</v>
      </c>
      <c r="AA68">
        <v>60.05</v>
      </c>
    </row>
    <row r="69" spans="22:30" x14ac:dyDescent="0.3">
      <c r="V69">
        <v>1400</v>
      </c>
      <c r="W69">
        <v>61.16</v>
      </c>
      <c r="Z69">
        <v>1000</v>
      </c>
      <c r="AA69">
        <v>60.17</v>
      </c>
    </row>
    <row r="70" spans="22:30" x14ac:dyDescent="0.3">
      <c r="V70">
        <v>1000</v>
      </c>
      <c r="W70">
        <v>60.77</v>
      </c>
      <c r="Z70">
        <v>560</v>
      </c>
      <c r="AA70">
        <v>59.08</v>
      </c>
    </row>
    <row r="71" spans="22:30" x14ac:dyDescent="0.3">
      <c r="V71">
        <v>1400</v>
      </c>
      <c r="W71">
        <v>60.27</v>
      </c>
      <c r="Z71">
        <v>1000</v>
      </c>
      <c r="AA71">
        <v>59.35</v>
      </c>
    </row>
    <row r="72" spans="22:30" x14ac:dyDescent="0.3">
      <c r="V72">
        <v>1000</v>
      </c>
      <c r="W72">
        <v>60.62</v>
      </c>
      <c r="Z72">
        <v>1000</v>
      </c>
      <c r="AA72">
        <v>59.95</v>
      </c>
    </row>
    <row r="73" spans="22:30" x14ac:dyDescent="0.3">
      <c r="V73">
        <v>1400</v>
      </c>
      <c r="W73">
        <v>60.35</v>
      </c>
      <c r="Z73">
        <v>1000</v>
      </c>
      <c r="AA73">
        <v>61.37</v>
      </c>
    </row>
    <row r="74" spans="22:30" x14ac:dyDescent="0.3">
      <c r="V74">
        <v>1000</v>
      </c>
      <c r="W74">
        <v>60.14</v>
      </c>
      <c r="Z74">
        <v>1400</v>
      </c>
      <c r="AA74">
        <v>61.31</v>
      </c>
    </row>
    <row r="75" spans="22:30" x14ac:dyDescent="0.3">
      <c r="V75">
        <v>1400</v>
      </c>
      <c r="W75">
        <v>62.48</v>
      </c>
      <c r="Z75">
        <v>560</v>
      </c>
      <c r="AA75">
        <v>60.72</v>
      </c>
      <c r="AC75">
        <v>1000</v>
      </c>
      <c r="AD75">
        <v>61.37</v>
      </c>
    </row>
    <row r="76" spans="22:30" x14ac:dyDescent="0.3">
      <c r="V76">
        <v>1000</v>
      </c>
      <c r="W76">
        <v>62.43</v>
      </c>
      <c r="Z76">
        <v>1000</v>
      </c>
      <c r="AA76">
        <v>60.89</v>
      </c>
      <c r="AC76">
        <v>1400</v>
      </c>
      <c r="AD76">
        <v>61.31</v>
      </c>
    </row>
    <row r="77" spans="22:30" x14ac:dyDescent="0.3">
      <c r="V77">
        <v>1400</v>
      </c>
      <c r="W77">
        <v>60.67</v>
      </c>
      <c r="Z77">
        <v>1400</v>
      </c>
      <c r="AA77">
        <v>60.52</v>
      </c>
      <c r="AC77">
        <v>560</v>
      </c>
      <c r="AD77">
        <v>60.72</v>
      </c>
    </row>
    <row r="78" spans="22:30" x14ac:dyDescent="0.3">
      <c r="V78">
        <v>1000</v>
      </c>
      <c r="W78">
        <v>61.09</v>
      </c>
      <c r="Z78">
        <v>1000</v>
      </c>
      <c r="AA78">
        <v>60.81</v>
      </c>
      <c r="AC78">
        <v>1000</v>
      </c>
      <c r="AD78">
        <v>60.89</v>
      </c>
    </row>
    <row r="79" spans="22:30" x14ac:dyDescent="0.3">
      <c r="V79">
        <f>SUBTOTAL(9,V62:V78)</f>
        <v>20000</v>
      </c>
      <c r="W79">
        <f>SUMPRODUCT(V62:V78,W62:W78)/V79</f>
        <v>61.065569999999994</v>
      </c>
      <c r="Z79">
        <v>800</v>
      </c>
      <c r="AA79">
        <v>59.15</v>
      </c>
      <c r="AC79">
        <v>1000</v>
      </c>
      <c r="AD79">
        <v>60.62</v>
      </c>
    </row>
    <row r="80" spans="22:30" x14ac:dyDescent="0.3">
      <c r="Z80">
        <v>1000</v>
      </c>
      <c r="AA80">
        <v>59.43</v>
      </c>
    </row>
    <row r="81" spans="26:30" x14ac:dyDescent="0.3">
      <c r="Z81">
        <v>1000</v>
      </c>
      <c r="AA81">
        <v>59.07</v>
      </c>
      <c r="AC81">
        <v>1000</v>
      </c>
      <c r="AD81">
        <v>60.14</v>
      </c>
    </row>
    <row r="82" spans="26:30" x14ac:dyDescent="0.3">
      <c r="Z82">
        <v>1400</v>
      </c>
      <c r="AA82">
        <v>61.06</v>
      </c>
    </row>
    <row r="83" spans="26:30" x14ac:dyDescent="0.3">
      <c r="Z83">
        <v>1000</v>
      </c>
      <c r="AA83">
        <v>61.13</v>
      </c>
    </row>
    <row r="84" spans="26:30" x14ac:dyDescent="0.3">
      <c r="Z84">
        <v>1000</v>
      </c>
      <c r="AA84">
        <v>62.18</v>
      </c>
      <c r="AC84">
        <v>1400</v>
      </c>
      <c r="AD84">
        <v>60.67</v>
      </c>
    </row>
    <row r="85" spans="26:30" x14ac:dyDescent="0.3">
      <c r="Z85">
        <v>1000</v>
      </c>
      <c r="AA85">
        <v>62.03</v>
      </c>
      <c r="AC85">
        <v>1000</v>
      </c>
      <c r="AD85">
        <v>61.09</v>
      </c>
    </row>
    <row r="86" spans="26:30" x14ac:dyDescent="0.3">
      <c r="Z86">
        <v>1400</v>
      </c>
      <c r="AA86">
        <v>61.73</v>
      </c>
      <c r="AC86">
        <v>1400</v>
      </c>
      <c r="AD86">
        <v>60.52</v>
      </c>
    </row>
    <row r="87" spans="26:30" x14ac:dyDescent="0.3">
      <c r="Z87">
        <v>1000</v>
      </c>
      <c r="AA87">
        <v>61.96</v>
      </c>
      <c r="AC87">
        <v>1000</v>
      </c>
      <c r="AD87">
        <v>60.81</v>
      </c>
    </row>
    <row r="88" spans="26:30" x14ac:dyDescent="0.3">
      <c r="Z88">
        <f>SUBTOTAL(9,Z59:Z87)</f>
        <v>29600</v>
      </c>
      <c r="AA88">
        <f>SUMPRODUCT(Z59:Z87,AA59:AA87)/Z88</f>
        <v>60.612108108108103</v>
      </c>
      <c r="AC88">
        <v>1400</v>
      </c>
      <c r="AD88">
        <v>61.06</v>
      </c>
    </row>
    <row r="89" spans="26:30" x14ac:dyDescent="0.3">
      <c r="AC89">
        <v>1000</v>
      </c>
      <c r="AD89">
        <v>61.13</v>
      </c>
    </row>
    <row r="92" spans="26:30" x14ac:dyDescent="0.3">
      <c r="AC92">
        <v>1400</v>
      </c>
      <c r="AD92">
        <v>61.73</v>
      </c>
    </row>
    <row r="93" spans="26:30" x14ac:dyDescent="0.3">
      <c r="AC93">
        <v>1000</v>
      </c>
      <c r="AD93">
        <v>61.96</v>
      </c>
    </row>
    <row r="94" spans="26:30" x14ac:dyDescent="0.3">
      <c r="AC94">
        <f>SUM(AC54:AC93)</f>
        <v>15560</v>
      </c>
      <c r="AD94">
        <f>SUMPRODUCT(AC54:AC93,AD54:AD93)/AC94</f>
        <v>61.016658097686374</v>
      </c>
    </row>
  </sheetData>
  <autoFilter ref="A5:U53" xr:uid="{26E1E8FB-0EE1-43BF-9BC2-FDAD038DEC5A}"/>
  <mergeCells count="8">
    <mergeCell ref="A1:B1"/>
    <mergeCell ref="A5:A6"/>
    <mergeCell ref="B5:B6"/>
    <mergeCell ref="M43:M53"/>
    <mergeCell ref="C5:C6"/>
    <mergeCell ref="D5:D6"/>
    <mergeCell ref="M25:M30"/>
    <mergeCell ref="M31:M42"/>
  </mergeCells>
  <conditionalFormatting sqref="E14:E53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C0D0-F81F-4F11-8C43-7C1CC967B1B0}">
  <dimension ref="A1:AB34"/>
  <sheetViews>
    <sheetView topLeftCell="A5" workbookViewId="0">
      <selection activeCell="C7" sqref="C7:C30"/>
    </sheetView>
  </sheetViews>
  <sheetFormatPr defaultRowHeight="14.4" x14ac:dyDescent="0.3"/>
  <cols>
    <col min="1" max="1" width="6.44140625" bestFit="1" customWidth="1"/>
    <col min="2" max="2" width="19.21875" customWidth="1"/>
    <col min="3" max="4" width="14.6640625" customWidth="1"/>
    <col min="5" max="5" width="6.44140625" bestFit="1" customWidth="1"/>
    <col min="6" max="6" width="7.5546875" bestFit="1" customWidth="1"/>
    <col min="7" max="9" width="6" bestFit="1" customWidth="1"/>
    <col min="10" max="10" width="7.5546875" bestFit="1" customWidth="1"/>
    <col min="11" max="12" width="6" bestFit="1" customWidth="1"/>
    <col min="13" max="13" width="13.21875" customWidth="1"/>
    <col min="14" max="21" width="8.88671875" hidden="1" customWidth="1"/>
    <col min="22" max="23" width="0" hidden="1" customWidth="1"/>
    <col min="32" max="32" width="19.21875" bestFit="1" customWidth="1"/>
  </cols>
  <sheetData>
    <row r="1" spans="1:28" ht="15.6" x14ac:dyDescent="0.3">
      <c r="A1" s="58" t="s">
        <v>70</v>
      </c>
      <c r="B1" s="55"/>
    </row>
    <row r="2" spans="1:28" x14ac:dyDescent="0.3">
      <c r="B2" s="15" t="s">
        <v>71</v>
      </c>
      <c r="C2" t="s">
        <v>72</v>
      </c>
    </row>
    <row r="3" spans="1:28" x14ac:dyDescent="0.3">
      <c r="B3" s="1" t="s">
        <v>0</v>
      </c>
      <c r="C3" t="s">
        <v>1</v>
      </c>
    </row>
    <row r="5" spans="1:28" x14ac:dyDescent="0.3">
      <c r="A5" s="52" t="s">
        <v>2</v>
      </c>
      <c r="B5" s="59" t="s">
        <v>3</v>
      </c>
      <c r="C5" s="51" t="s">
        <v>74</v>
      </c>
      <c r="D5" s="51" t="s">
        <v>73</v>
      </c>
      <c r="E5" s="21" t="s">
        <v>4</v>
      </c>
    </row>
    <row r="6" spans="1:28" ht="15" thickBot="1" x14ac:dyDescent="0.35">
      <c r="A6" s="53"/>
      <c r="B6" s="55"/>
      <c r="C6" s="51"/>
      <c r="D6" s="51"/>
      <c r="E6" s="7" t="s">
        <v>5</v>
      </c>
      <c r="F6" s="8" t="s">
        <v>6</v>
      </c>
      <c r="G6" s="9" t="s">
        <v>7</v>
      </c>
      <c r="H6" s="10" t="s">
        <v>8</v>
      </c>
      <c r="I6" s="11" t="s">
        <v>9</v>
      </c>
      <c r="J6" s="12" t="s">
        <v>10</v>
      </c>
      <c r="K6" s="13" t="s">
        <v>11</v>
      </c>
      <c r="L6" s="14" t="s">
        <v>12</v>
      </c>
    </row>
    <row r="7" spans="1:28" x14ac:dyDescent="0.3">
      <c r="A7" s="18">
        <v>1</v>
      </c>
      <c r="B7" t="s">
        <v>81</v>
      </c>
      <c r="C7" s="30" t="s">
        <v>76</v>
      </c>
      <c r="D7" s="31">
        <v>300</v>
      </c>
      <c r="E7" s="23">
        <v>64.41</v>
      </c>
      <c r="F7" s="23">
        <v>2.47465</v>
      </c>
      <c r="G7" s="23">
        <v>2.0019999999999998</v>
      </c>
      <c r="H7" s="23">
        <v>0</v>
      </c>
      <c r="I7" s="23">
        <v>2.1999999999999999E-2</v>
      </c>
      <c r="J7" s="23">
        <v>4.6280000000000002E-2</v>
      </c>
      <c r="K7" s="23">
        <v>2.5999999999999999E-2</v>
      </c>
      <c r="L7" s="32">
        <v>3.22</v>
      </c>
      <c r="M7" s="39">
        <f>SUMPRODUCT(D7:D11,E7:E11)/SUM(D7:D11)</f>
        <v>62.796999999999997</v>
      </c>
      <c r="N7">
        <f t="shared" ref="N7:U11" si="0">$D7*E7</f>
        <v>19323</v>
      </c>
      <c r="O7">
        <f t="shared" si="0"/>
        <v>742.39499999999998</v>
      </c>
      <c r="P7">
        <f t="shared" si="0"/>
        <v>600.59999999999991</v>
      </c>
      <c r="Q7">
        <f t="shared" si="0"/>
        <v>0</v>
      </c>
      <c r="R7">
        <f t="shared" si="0"/>
        <v>6.6</v>
      </c>
      <c r="S7">
        <f t="shared" si="0"/>
        <v>13.884</v>
      </c>
      <c r="T7">
        <f t="shared" si="0"/>
        <v>7.8</v>
      </c>
      <c r="U7">
        <f t="shared" si="0"/>
        <v>966.00000000000011</v>
      </c>
    </row>
    <row r="8" spans="1:28" x14ac:dyDescent="0.3">
      <c r="A8" s="18">
        <v>2</v>
      </c>
      <c r="B8" t="s">
        <v>83</v>
      </c>
      <c r="C8" s="33" t="s">
        <v>76</v>
      </c>
      <c r="D8" s="4">
        <v>300</v>
      </c>
      <c r="E8" s="2">
        <v>61.59</v>
      </c>
      <c r="F8" s="2">
        <v>3.1150600000000002</v>
      </c>
      <c r="G8" s="2">
        <v>4.1459999999999999</v>
      </c>
      <c r="H8" s="2">
        <v>0.03</v>
      </c>
      <c r="I8" s="2">
        <v>4.7E-2</v>
      </c>
      <c r="J8" s="2">
        <v>6.3030000000000003E-2</v>
      </c>
      <c r="K8" s="2">
        <v>0.01</v>
      </c>
      <c r="L8" s="34">
        <v>4.34</v>
      </c>
      <c r="M8" s="39"/>
      <c r="N8">
        <f t="shared" si="0"/>
        <v>18477</v>
      </c>
      <c r="O8">
        <f t="shared" si="0"/>
        <v>934.51800000000003</v>
      </c>
      <c r="P8">
        <f t="shared" si="0"/>
        <v>1243.8</v>
      </c>
      <c r="Q8">
        <f t="shared" si="0"/>
        <v>9</v>
      </c>
      <c r="R8">
        <f t="shared" si="0"/>
        <v>14.1</v>
      </c>
      <c r="S8">
        <f t="shared" si="0"/>
        <v>18.909000000000002</v>
      </c>
      <c r="T8">
        <f t="shared" si="0"/>
        <v>3</v>
      </c>
      <c r="U8">
        <f t="shared" si="0"/>
        <v>1302</v>
      </c>
    </row>
    <row r="9" spans="1:28" x14ac:dyDescent="0.3">
      <c r="A9" s="18">
        <v>3</v>
      </c>
      <c r="B9" t="s">
        <v>85</v>
      </c>
      <c r="C9" s="33" t="s">
        <v>76</v>
      </c>
      <c r="D9" s="4">
        <v>300</v>
      </c>
      <c r="E9" s="2">
        <v>61.372</v>
      </c>
      <c r="F9" s="2">
        <v>3.18</v>
      </c>
      <c r="G9" s="2">
        <v>2.9359999999999999</v>
      </c>
      <c r="H9" s="2"/>
      <c r="I9" s="2"/>
      <c r="J9" s="2">
        <v>5.0999999999999997E-2</v>
      </c>
      <c r="K9" s="2"/>
      <c r="L9" s="34">
        <v>4.96</v>
      </c>
      <c r="M9" s="39"/>
      <c r="N9">
        <f t="shared" si="0"/>
        <v>18411.599999999999</v>
      </c>
      <c r="O9">
        <f t="shared" si="0"/>
        <v>954</v>
      </c>
      <c r="P9">
        <f t="shared" si="0"/>
        <v>880.8</v>
      </c>
      <c r="Q9">
        <f t="shared" si="0"/>
        <v>0</v>
      </c>
      <c r="R9">
        <f t="shared" si="0"/>
        <v>0</v>
      </c>
      <c r="S9">
        <f t="shared" si="0"/>
        <v>15.299999999999999</v>
      </c>
      <c r="T9">
        <f t="shared" si="0"/>
        <v>0</v>
      </c>
      <c r="U9">
        <f t="shared" si="0"/>
        <v>1488</v>
      </c>
    </row>
    <row r="10" spans="1:28" x14ac:dyDescent="0.3">
      <c r="A10" s="18">
        <v>4</v>
      </c>
      <c r="B10" t="s">
        <v>88</v>
      </c>
      <c r="C10" s="33" t="s">
        <v>76</v>
      </c>
      <c r="D10" s="4">
        <v>500</v>
      </c>
      <c r="E10" s="2">
        <v>64.305999999999997</v>
      </c>
      <c r="F10" s="2">
        <v>2.2799999999999998</v>
      </c>
      <c r="G10" s="2">
        <v>1.7130000000000001</v>
      </c>
      <c r="H10" s="2"/>
      <c r="I10" s="2"/>
      <c r="J10" s="2">
        <v>3.4000000000000002E-2</v>
      </c>
      <c r="K10" s="2"/>
      <c r="L10" s="34">
        <v>3.91</v>
      </c>
      <c r="M10" s="39"/>
      <c r="N10">
        <f t="shared" si="0"/>
        <v>32153</v>
      </c>
      <c r="O10">
        <f t="shared" si="0"/>
        <v>1140</v>
      </c>
      <c r="P10">
        <f t="shared" si="0"/>
        <v>856.5</v>
      </c>
      <c r="Q10">
        <f t="shared" si="0"/>
        <v>0</v>
      </c>
      <c r="R10">
        <f t="shared" si="0"/>
        <v>0</v>
      </c>
      <c r="S10">
        <f t="shared" si="0"/>
        <v>17</v>
      </c>
      <c r="T10">
        <f t="shared" si="0"/>
        <v>0</v>
      </c>
      <c r="U10">
        <f t="shared" si="0"/>
        <v>1955</v>
      </c>
    </row>
    <row r="11" spans="1:28" ht="15" thickBot="1" x14ac:dyDescent="0.35">
      <c r="A11" s="18">
        <v>5</v>
      </c>
      <c r="B11" t="s">
        <v>91</v>
      </c>
      <c r="C11" s="35" t="s">
        <v>76</v>
      </c>
      <c r="D11" s="36">
        <v>600</v>
      </c>
      <c r="E11" s="26">
        <v>62.048999999999999</v>
      </c>
      <c r="F11" s="26">
        <v>3.61</v>
      </c>
      <c r="G11" s="26">
        <v>2.9159999999999999</v>
      </c>
      <c r="H11" s="26"/>
      <c r="I11" s="26"/>
      <c r="J11" s="26">
        <v>5.8999999999999997E-2</v>
      </c>
      <c r="K11" s="26"/>
      <c r="L11" s="37">
        <v>4.4400000000000004</v>
      </c>
      <c r="M11" s="39"/>
      <c r="N11">
        <f t="shared" si="0"/>
        <v>37229.4</v>
      </c>
      <c r="O11">
        <f t="shared" si="0"/>
        <v>2166</v>
      </c>
      <c r="P11">
        <f t="shared" si="0"/>
        <v>1749.6</v>
      </c>
      <c r="Q11">
        <f t="shared" si="0"/>
        <v>0</v>
      </c>
      <c r="R11">
        <f t="shared" si="0"/>
        <v>0</v>
      </c>
      <c r="S11">
        <f t="shared" si="0"/>
        <v>35.4</v>
      </c>
      <c r="T11">
        <f t="shared" si="0"/>
        <v>0</v>
      </c>
      <c r="U11">
        <f t="shared" si="0"/>
        <v>2664.0000000000005</v>
      </c>
      <c r="X11">
        <v>600</v>
      </c>
      <c r="Y11">
        <v>62.048999999999999</v>
      </c>
    </row>
    <row r="12" spans="1:28" x14ac:dyDescent="0.3">
      <c r="A12" s="18"/>
      <c r="C12" s="19"/>
      <c r="D12" s="4">
        <f>SUM(D7:D11)</f>
        <v>2000</v>
      </c>
      <c r="E12" s="40">
        <f>SUMPRODUCT($D$7:$D$11,E7:E11)/$D$12</f>
        <v>62.796999999999997</v>
      </c>
      <c r="F12" s="40">
        <f t="shared" ref="F12:L12" si="1">SUMPRODUCT($D$7:$D$11,F7:F11)/$D$12</f>
        <v>2.9684565000000003</v>
      </c>
      <c r="G12" s="40">
        <f t="shared" si="1"/>
        <v>2.6656499999999999</v>
      </c>
      <c r="H12" s="40">
        <f t="shared" si="1"/>
        <v>4.4999999999999997E-3</v>
      </c>
      <c r="I12" s="40">
        <f t="shared" si="1"/>
        <v>1.035E-2</v>
      </c>
      <c r="J12" s="40">
        <f t="shared" si="1"/>
        <v>5.0246499999999999E-2</v>
      </c>
      <c r="K12" s="40">
        <f t="shared" si="1"/>
        <v>5.4000000000000003E-3</v>
      </c>
      <c r="L12" s="40">
        <f t="shared" si="1"/>
        <v>4.1875</v>
      </c>
      <c r="M12" s="38"/>
    </row>
    <row r="13" spans="1:28" x14ac:dyDescent="0.3">
      <c r="A13" s="18">
        <v>6</v>
      </c>
      <c r="B13" t="s">
        <v>15</v>
      </c>
      <c r="C13" s="5" t="s">
        <v>76</v>
      </c>
      <c r="D13" s="6">
        <v>600</v>
      </c>
      <c r="E13" s="2">
        <v>65.05</v>
      </c>
      <c r="F13" s="2">
        <v>1.67397</v>
      </c>
      <c r="G13" s="2">
        <v>1.7589999999999999</v>
      </c>
      <c r="H13" s="2">
        <v>0</v>
      </c>
      <c r="I13" s="2">
        <v>2.1000000000000001E-2</v>
      </c>
      <c r="J13" s="2">
        <v>5.6660000000000002E-2</v>
      </c>
      <c r="K13" s="2">
        <v>1.2999999999999999E-2</v>
      </c>
      <c r="L13" s="2">
        <v>3.31</v>
      </c>
      <c r="M13" s="63">
        <f>SUMPRODUCT(D13:D29,E13:E29)/SUM(D13:D29)</f>
        <v>64.365846153846164</v>
      </c>
      <c r="N13">
        <f t="shared" ref="N13:N29" si="2">$D13*E13</f>
        <v>39030</v>
      </c>
      <c r="O13">
        <f t="shared" ref="O13:O29" si="3">$D13*F13</f>
        <v>1004.3819999999999</v>
      </c>
      <c r="P13">
        <f t="shared" ref="P13:P29" si="4">$D13*G13</f>
        <v>1055.3999999999999</v>
      </c>
      <c r="Q13">
        <f t="shared" ref="Q13:Q29" si="5">$D13*H13</f>
        <v>0</v>
      </c>
      <c r="R13">
        <f t="shared" ref="R13:R29" si="6">$D13*I13</f>
        <v>12.600000000000001</v>
      </c>
      <c r="S13">
        <f t="shared" ref="S13:S29" si="7">$D13*J13</f>
        <v>33.996000000000002</v>
      </c>
      <c r="T13">
        <f t="shared" ref="T13:T29" si="8">$D13*K13</f>
        <v>7.8</v>
      </c>
      <c r="U13">
        <f t="shared" ref="U13:U29" si="9">$D13*L13</f>
        <v>1986</v>
      </c>
    </row>
    <row r="14" spans="1:28" x14ac:dyDescent="0.3">
      <c r="A14" s="18">
        <v>7</v>
      </c>
      <c r="B14" t="s">
        <v>18</v>
      </c>
      <c r="C14" s="3" t="s">
        <v>76</v>
      </c>
      <c r="D14" s="6">
        <v>600</v>
      </c>
      <c r="E14" s="2">
        <v>63.47</v>
      </c>
      <c r="F14" s="2">
        <v>2.3587799999999999</v>
      </c>
      <c r="G14" s="2">
        <v>2.6429999999999998</v>
      </c>
      <c r="H14" s="2">
        <v>0</v>
      </c>
      <c r="I14" s="2">
        <v>0.03</v>
      </c>
      <c r="J14" s="2">
        <v>6.3500000000000001E-2</v>
      </c>
      <c r="K14" s="2">
        <v>0.01</v>
      </c>
      <c r="L14" s="2">
        <v>3.94</v>
      </c>
      <c r="M14" s="63"/>
      <c r="N14">
        <f t="shared" si="2"/>
        <v>38082</v>
      </c>
      <c r="O14">
        <f t="shared" si="3"/>
        <v>1415.268</v>
      </c>
      <c r="P14">
        <f t="shared" si="4"/>
        <v>1585.8</v>
      </c>
      <c r="Q14">
        <f t="shared" si="5"/>
        <v>0</v>
      </c>
      <c r="R14">
        <f t="shared" si="6"/>
        <v>18</v>
      </c>
      <c r="S14">
        <f t="shared" si="7"/>
        <v>38.1</v>
      </c>
      <c r="T14">
        <f t="shared" si="8"/>
        <v>6</v>
      </c>
      <c r="U14">
        <f t="shared" si="9"/>
        <v>2364</v>
      </c>
    </row>
    <row r="15" spans="1:28" x14ac:dyDescent="0.3">
      <c r="A15" s="18">
        <v>8</v>
      </c>
      <c r="B15" t="s">
        <v>19</v>
      </c>
      <c r="C15" s="5" t="s">
        <v>76</v>
      </c>
      <c r="D15" s="6">
        <v>680</v>
      </c>
      <c r="E15" s="2">
        <v>64.510000000000005</v>
      </c>
      <c r="F15" s="2">
        <v>2.0233699999999999</v>
      </c>
      <c r="G15" s="2">
        <v>1.974</v>
      </c>
      <c r="H15" s="2">
        <v>0.17499999999999999</v>
      </c>
      <c r="I15" s="2">
        <v>3.3000000000000002E-2</v>
      </c>
      <c r="J15" s="2">
        <v>5.1950000000000003E-2</v>
      </c>
      <c r="K15" s="2">
        <v>2.1999999999999999E-2</v>
      </c>
      <c r="L15" s="2">
        <v>3.32</v>
      </c>
      <c r="M15" s="63"/>
      <c r="N15">
        <f t="shared" si="2"/>
        <v>43866.8</v>
      </c>
      <c r="O15">
        <f t="shared" si="3"/>
        <v>1375.8915999999999</v>
      </c>
      <c r="P15">
        <f t="shared" si="4"/>
        <v>1342.32</v>
      </c>
      <c r="Q15">
        <f t="shared" si="5"/>
        <v>118.99999999999999</v>
      </c>
      <c r="R15">
        <f t="shared" si="6"/>
        <v>22.44</v>
      </c>
      <c r="S15">
        <f t="shared" si="7"/>
        <v>35.326000000000001</v>
      </c>
      <c r="T15">
        <f t="shared" si="8"/>
        <v>14.959999999999999</v>
      </c>
      <c r="U15">
        <f t="shared" si="9"/>
        <v>2257.6</v>
      </c>
      <c r="AB15" s="2"/>
    </row>
    <row r="16" spans="1:28" x14ac:dyDescent="0.3">
      <c r="A16" s="18">
        <v>9</v>
      </c>
      <c r="B16" t="s">
        <v>25</v>
      </c>
      <c r="C16" s="5" t="s">
        <v>76</v>
      </c>
      <c r="D16" s="6">
        <v>600</v>
      </c>
      <c r="E16" s="2">
        <v>65.25</v>
      </c>
      <c r="F16" s="2">
        <v>1.45766</v>
      </c>
      <c r="G16" s="2">
        <v>1.321</v>
      </c>
      <c r="H16" s="2">
        <v>0</v>
      </c>
      <c r="I16" s="2">
        <v>0.02</v>
      </c>
      <c r="J16" s="2">
        <v>6.2379999999999998E-2</v>
      </c>
      <c r="K16" s="2">
        <v>6.0000000000000001E-3</v>
      </c>
      <c r="L16" s="2">
        <v>3.39</v>
      </c>
      <c r="M16" s="63"/>
      <c r="N16">
        <f t="shared" si="2"/>
        <v>39150</v>
      </c>
      <c r="O16">
        <f t="shared" si="3"/>
        <v>874.596</v>
      </c>
      <c r="P16">
        <f t="shared" si="4"/>
        <v>792.6</v>
      </c>
      <c r="Q16">
        <f t="shared" si="5"/>
        <v>0</v>
      </c>
      <c r="R16">
        <f t="shared" si="6"/>
        <v>12</v>
      </c>
      <c r="S16">
        <f t="shared" si="7"/>
        <v>37.427999999999997</v>
      </c>
      <c r="T16">
        <f t="shared" si="8"/>
        <v>3.6</v>
      </c>
      <c r="U16">
        <f t="shared" si="9"/>
        <v>2034</v>
      </c>
      <c r="AB16" s="2"/>
    </row>
    <row r="17" spans="1:28" x14ac:dyDescent="0.3">
      <c r="A17" s="18">
        <v>10</v>
      </c>
      <c r="B17" t="s">
        <v>29</v>
      </c>
      <c r="C17" s="5" t="s">
        <v>76</v>
      </c>
      <c r="D17" s="6">
        <v>640</v>
      </c>
      <c r="E17" s="2">
        <v>64.040000000000006</v>
      </c>
      <c r="F17" s="2">
        <v>2.1650700000000001</v>
      </c>
      <c r="G17" s="2">
        <v>1.9379999999999999</v>
      </c>
      <c r="H17" s="2">
        <v>0</v>
      </c>
      <c r="I17" s="2">
        <v>1.7999999999999999E-2</v>
      </c>
      <c r="J17" s="2">
        <v>6.9589999999999999E-2</v>
      </c>
      <c r="K17" s="2">
        <v>7.0000000000000001E-3</v>
      </c>
      <c r="L17" s="2">
        <v>3.9</v>
      </c>
      <c r="M17" s="63"/>
      <c r="N17">
        <f t="shared" si="2"/>
        <v>40985.600000000006</v>
      </c>
      <c r="O17">
        <f t="shared" si="3"/>
        <v>1385.6448</v>
      </c>
      <c r="P17">
        <f t="shared" si="4"/>
        <v>1240.32</v>
      </c>
      <c r="Q17">
        <f t="shared" si="5"/>
        <v>0</v>
      </c>
      <c r="R17">
        <f t="shared" si="6"/>
        <v>11.52</v>
      </c>
      <c r="S17">
        <f t="shared" si="7"/>
        <v>44.537599999999998</v>
      </c>
      <c r="T17">
        <f t="shared" si="8"/>
        <v>4.4800000000000004</v>
      </c>
      <c r="U17">
        <f t="shared" si="9"/>
        <v>2496</v>
      </c>
      <c r="AB17" s="2"/>
    </row>
    <row r="18" spans="1:28" x14ac:dyDescent="0.3">
      <c r="A18" s="18">
        <v>11</v>
      </c>
      <c r="B18" t="s">
        <v>32</v>
      </c>
      <c r="C18" s="5" t="s">
        <v>76</v>
      </c>
      <c r="D18" s="6">
        <v>600</v>
      </c>
      <c r="E18" s="2">
        <v>63.75</v>
      </c>
      <c r="F18" s="2">
        <v>1.7609699999999999</v>
      </c>
      <c r="G18" s="2">
        <v>2.3220000000000001</v>
      </c>
      <c r="H18" s="2">
        <v>0</v>
      </c>
      <c r="I18" s="2">
        <v>1.9E-2</v>
      </c>
      <c r="J18" s="2">
        <v>7.9269999999999993E-2</v>
      </c>
      <c r="K18" s="2">
        <v>1.0999999999999999E-2</v>
      </c>
      <c r="L18" s="2">
        <v>4.45</v>
      </c>
      <c r="N18">
        <f t="shared" si="2"/>
        <v>38250</v>
      </c>
      <c r="O18">
        <f t="shared" si="3"/>
        <v>1056.5819999999999</v>
      </c>
      <c r="P18">
        <f t="shared" si="4"/>
        <v>1393.2</v>
      </c>
      <c r="Q18">
        <f t="shared" si="5"/>
        <v>0</v>
      </c>
      <c r="R18">
        <f t="shared" si="6"/>
        <v>11.4</v>
      </c>
      <c r="S18">
        <f t="shared" si="7"/>
        <v>47.561999999999998</v>
      </c>
      <c r="T18">
        <f t="shared" si="8"/>
        <v>6.6</v>
      </c>
      <c r="U18">
        <f t="shared" si="9"/>
        <v>2670</v>
      </c>
    </row>
    <row r="19" spans="1:28" x14ac:dyDescent="0.3">
      <c r="A19" s="18">
        <v>12</v>
      </c>
      <c r="B19" t="s">
        <v>36</v>
      </c>
      <c r="C19" s="5" t="s">
        <v>76</v>
      </c>
      <c r="D19" s="6">
        <v>640</v>
      </c>
      <c r="E19" s="2">
        <v>64.66</v>
      </c>
      <c r="F19" s="2">
        <v>1.92624</v>
      </c>
      <c r="G19" s="2">
        <v>1.306</v>
      </c>
      <c r="H19" s="2">
        <v>0</v>
      </c>
      <c r="I19" s="2">
        <v>1.2999999999999999E-2</v>
      </c>
      <c r="J19" s="2">
        <v>5.4769999999999999E-2</v>
      </c>
      <c r="K19" s="2">
        <v>3.6999999999999998E-2</v>
      </c>
      <c r="L19" s="2">
        <v>3.95</v>
      </c>
      <c r="N19">
        <f t="shared" si="2"/>
        <v>41382.399999999994</v>
      </c>
      <c r="O19">
        <f t="shared" si="3"/>
        <v>1232.7936</v>
      </c>
      <c r="P19">
        <f t="shared" si="4"/>
        <v>835.84</v>
      </c>
      <c r="Q19">
        <f t="shared" si="5"/>
        <v>0</v>
      </c>
      <c r="R19">
        <f t="shared" si="6"/>
        <v>8.32</v>
      </c>
      <c r="S19">
        <f t="shared" si="7"/>
        <v>35.052799999999998</v>
      </c>
      <c r="T19">
        <f t="shared" si="8"/>
        <v>23.68</v>
      </c>
      <c r="U19">
        <f t="shared" si="9"/>
        <v>2528</v>
      </c>
    </row>
    <row r="20" spans="1:28" x14ac:dyDescent="0.3">
      <c r="A20" s="18">
        <v>13</v>
      </c>
      <c r="B20" t="s">
        <v>39</v>
      </c>
      <c r="C20" s="5" t="s">
        <v>76</v>
      </c>
      <c r="D20" s="6">
        <v>600</v>
      </c>
      <c r="E20" s="2">
        <v>64.87</v>
      </c>
      <c r="F20" s="2">
        <v>1.7532700000000001</v>
      </c>
      <c r="G20" s="2">
        <v>1.982</v>
      </c>
      <c r="H20" s="2">
        <v>0</v>
      </c>
      <c r="I20" s="2">
        <v>1.7000000000000001E-2</v>
      </c>
      <c r="J20" s="2">
        <v>5.6529999999999997E-2</v>
      </c>
      <c r="K20" s="2">
        <v>1.2999999999999999E-2</v>
      </c>
      <c r="L20" s="2">
        <v>3.29</v>
      </c>
      <c r="N20">
        <f t="shared" si="2"/>
        <v>38922</v>
      </c>
      <c r="O20">
        <f t="shared" si="3"/>
        <v>1051.962</v>
      </c>
      <c r="P20">
        <f t="shared" si="4"/>
        <v>1189.2</v>
      </c>
      <c r="Q20">
        <f t="shared" si="5"/>
        <v>0</v>
      </c>
      <c r="R20">
        <f t="shared" si="6"/>
        <v>10.200000000000001</v>
      </c>
      <c r="S20">
        <f t="shared" si="7"/>
        <v>33.917999999999999</v>
      </c>
      <c r="T20">
        <f t="shared" si="8"/>
        <v>7.8</v>
      </c>
      <c r="U20">
        <f t="shared" si="9"/>
        <v>1974</v>
      </c>
    </row>
    <row r="21" spans="1:28" x14ac:dyDescent="0.3">
      <c r="A21" s="18">
        <v>14</v>
      </c>
      <c r="B21" t="s">
        <v>43</v>
      </c>
      <c r="C21" s="5" t="s">
        <v>76</v>
      </c>
      <c r="D21" s="6">
        <v>640</v>
      </c>
      <c r="E21" s="2">
        <v>64.05</v>
      </c>
      <c r="F21" s="2">
        <v>2.6564100000000002</v>
      </c>
      <c r="G21" s="2">
        <v>1.3340000000000001</v>
      </c>
      <c r="H21" s="2">
        <v>0</v>
      </c>
      <c r="I21" s="2">
        <v>2.4E-2</v>
      </c>
      <c r="J21" s="2">
        <v>5.534E-2</v>
      </c>
      <c r="K21" s="2">
        <v>1.4999999999999999E-2</v>
      </c>
      <c r="L21" s="2">
        <v>3.93</v>
      </c>
      <c r="N21">
        <f t="shared" si="2"/>
        <v>40992</v>
      </c>
      <c r="O21">
        <f t="shared" si="3"/>
        <v>1700.1024000000002</v>
      </c>
      <c r="P21">
        <f t="shared" si="4"/>
        <v>853.76</v>
      </c>
      <c r="Q21">
        <f t="shared" si="5"/>
        <v>0</v>
      </c>
      <c r="R21">
        <f t="shared" si="6"/>
        <v>15.36</v>
      </c>
      <c r="S21">
        <f t="shared" si="7"/>
        <v>35.4176</v>
      </c>
      <c r="T21">
        <f t="shared" si="8"/>
        <v>9.6</v>
      </c>
      <c r="U21">
        <f t="shared" si="9"/>
        <v>2515.2000000000003</v>
      </c>
    </row>
    <row r="22" spans="1:28" x14ac:dyDescent="0.3">
      <c r="A22" s="18">
        <v>15</v>
      </c>
      <c r="B22" t="s">
        <v>44</v>
      </c>
      <c r="C22" s="5" t="s">
        <v>76</v>
      </c>
      <c r="D22" s="6">
        <v>600</v>
      </c>
      <c r="E22" s="2">
        <v>63.62</v>
      </c>
      <c r="F22" s="2">
        <v>2.53043</v>
      </c>
      <c r="G22" s="2">
        <v>2.3119999999999998</v>
      </c>
      <c r="H22" s="2">
        <v>0</v>
      </c>
      <c r="I22" s="2">
        <v>2.3E-2</v>
      </c>
      <c r="J22" s="2">
        <v>5.3319999999999999E-2</v>
      </c>
      <c r="K22" s="2">
        <v>1.9E-2</v>
      </c>
      <c r="L22" s="2">
        <v>3.77</v>
      </c>
      <c r="N22">
        <f t="shared" si="2"/>
        <v>38172</v>
      </c>
      <c r="O22">
        <f t="shared" si="3"/>
        <v>1518.258</v>
      </c>
      <c r="P22">
        <f t="shared" si="4"/>
        <v>1387.1999999999998</v>
      </c>
      <c r="Q22">
        <f t="shared" si="5"/>
        <v>0</v>
      </c>
      <c r="R22">
        <f t="shared" si="6"/>
        <v>13.799999999999999</v>
      </c>
      <c r="S22">
        <f t="shared" si="7"/>
        <v>31.992000000000001</v>
      </c>
      <c r="T22">
        <f t="shared" si="8"/>
        <v>11.4</v>
      </c>
      <c r="U22">
        <f t="shared" si="9"/>
        <v>2262</v>
      </c>
    </row>
    <row r="23" spans="1:28" x14ac:dyDescent="0.3">
      <c r="A23" s="18">
        <v>16</v>
      </c>
      <c r="B23" t="s">
        <v>47</v>
      </c>
      <c r="C23" s="5" t="s">
        <v>76</v>
      </c>
      <c r="D23" s="6">
        <v>600</v>
      </c>
      <c r="E23" s="2">
        <v>64.86</v>
      </c>
      <c r="F23" s="2">
        <v>1.7000500000000001</v>
      </c>
      <c r="G23" s="2">
        <v>1.1220000000000001</v>
      </c>
      <c r="H23" s="2">
        <v>0</v>
      </c>
      <c r="I23" s="2">
        <v>2.1999999999999999E-2</v>
      </c>
      <c r="J23" s="2">
        <v>5.1810000000000002E-2</v>
      </c>
      <c r="K23" s="2">
        <v>4.5999999999999999E-2</v>
      </c>
      <c r="L23" s="2">
        <v>3.7</v>
      </c>
      <c r="N23">
        <f t="shared" si="2"/>
        <v>38916</v>
      </c>
      <c r="O23">
        <f t="shared" si="3"/>
        <v>1020.0300000000001</v>
      </c>
      <c r="P23">
        <f t="shared" si="4"/>
        <v>673.2</v>
      </c>
      <c r="Q23">
        <f t="shared" si="5"/>
        <v>0</v>
      </c>
      <c r="R23">
        <f t="shared" si="6"/>
        <v>13.2</v>
      </c>
      <c r="S23">
        <f t="shared" si="7"/>
        <v>31.086000000000002</v>
      </c>
      <c r="T23">
        <f t="shared" si="8"/>
        <v>27.599999999999998</v>
      </c>
      <c r="U23">
        <f t="shared" si="9"/>
        <v>2220</v>
      </c>
      <c r="X23">
        <v>600</v>
      </c>
      <c r="Y23">
        <v>64.86</v>
      </c>
    </row>
    <row r="24" spans="1:28" x14ac:dyDescent="0.3">
      <c r="A24" s="18">
        <v>17</v>
      </c>
      <c r="B24" t="s">
        <v>52</v>
      </c>
      <c r="C24" s="5" t="s">
        <v>76</v>
      </c>
      <c r="D24" s="6">
        <v>600</v>
      </c>
      <c r="E24" s="2">
        <v>64.02</v>
      </c>
      <c r="F24" s="2">
        <v>1.7802800000000001</v>
      </c>
      <c r="G24" s="2">
        <v>1.282</v>
      </c>
      <c r="H24" s="2">
        <v>0.72299999999999998</v>
      </c>
      <c r="I24" s="2">
        <v>4.2000000000000003E-2</v>
      </c>
      <c r="J24" s="2">
        <v>4.5839999999999999E-2</v>
      </c>
      <c r="K24" s="2">
        <v>0.318</v>
      </c>
      <c r="L24" s="2">
        <v>3.54</v>
      </c>
      <c r="N24">
        <f t="shared" si="2"/>
        <v>38412</v>
      </c>
      <c r="O24">
        <f t="shared" si="3"/>
        <v>1068.1680000000001</v>
      </c>
      <c r="P24">
        <f t="shared" si="4"/>
        <v>769.2</v>
      </c>
      <c r="Q24">
        <f t="shared" si="5"/>
        <v>433.8</v>
      </c>
      <c r="R24">
        <f t="shared" si="6"/>
        <v>25.200000000000003</v>
      </c>
      <c r="S24">
        <f t="shared" si="7"/>
        <v>27.503999999999998</v>
      </c>
      <c r="T24">
        <f t="shared" si="8"/>
        <v>190.8</v>
      </c>
      <c r="U24">
        <f t="shared" si="9"/>
        <v>2124</v>
      </c>
    </row>
    <row r="25" spans="1:28" x14ac:dyDescent="0.3">
      <c r="A25" s="18">
        <v>18</v>
      </c>
      <c r="B25" t="s">
        <v>55</v>
      </c>
      <c r="C25" s="5" t="s">
        <v>76</v>
      </c>
      <c r="D25" s="6">
        <v>600</v>
      </c>
      <c r="E25" s="2">
        <v>63.92</v>
      </c>
      <c r="F25" s="2">
        <v>2.6552600000000002</v>
      </c>
      <c r="G25" s="2">
        <v>2.202</v>
      </c>
      <c r="H25" s="2">
        <v>0</v>
      </c>
      <c r="I25" s="2">
        <v>2.5999999999999999E-2</v>
      </c>
      <c r="J25" s="2">
        <v>4.6780000000000002E-2</v>
      </c>
      <c r="K25" s="2">
        <v>5.3999999999999999E-2</v>
      </c>
      <c r="L25" s="2">
        <v>3.5</v>
      </c>
      <c r="N25">
        <f t="shared" si="2"/>
        <v>38352</v>
      </c>
      <c r="O25">
        <f t="shared" si="3"/>
        <v>1593.1560000000002</v>
      </c>
      <c r="P25">
        <f t="shared" si="4"/>
        <v>1321.2</v>
      </c>
      <c r="Q25">
        <f t="shared" si="5"/>
        <v>0</v>
      </c>
      <c r="R25">
        <f t="shared" si="6"/>
        <v>15.6</v>
      </c>
      <c r="S25">
        <f t="shared" si="7"/>
        <v>28.068000000000001</v>
      </c>
      <c r="T25">
        <f t="shared" si="8"/>
        <v>32.4</v>
      </c>
      <c r="U25">
        <f t="shared" si="9"/>
        <v>2100</v>
      </c>
    </row>
    <row r="26" spans="1:28" x14ac:dyDescent="0.3">
      <c r="A26" s="18">
        <v>19</v>
      </c>
      <c r="B26" t="s">
        <v>59</v>
      </c>
      <c r="C26" s="5" t="s">
        <v>76</v>
      </c>
      <c r="D26" s="6">
        <v>700</v>
      </c>
      <c r="E26" s="2">
        <v>63.44</v>
      </c>
      <c r="F26" s="2">
        <v>3.2344200000000001</v>
      </c>
      <c r="G26" s="2">
        <v>1.8540000000000001</v>
      </c>
      <c r="H26" s="2">
        <v>0</v>
      </c>
      <c r="I26" s="2">
        <v>0.03</v>
      </c>
      <c r="J26" s="2">
        <v>5.6739999999999999E-2</v>
      </c>
      <c r="K26" s="2">
        <v>1.4999999999999999E-2</v>
      </c>
      <c r="L26" s="2">
        <v>3.78</v>
      </c>
      <c r="N26">
        <f t="shared" si="2"/>
        <v>44408</v>
      </c>
      <c r="O26">
        <f t="shared" si="3"/>
        <v>2264.0940000000001</v>
      </c>
      <c r="P26">
        <f t="shared" si="4"/>
        <v>1297.8</v>
      </c>
      <c r="Q26">
        <f t="shared" si="5"/>
        <v>0</v>
      </c>
      <c r="R26">
        <f t="shared" si="6"/>
        <v>21</v>
      </c>
      <c r="S26">
        <f t="shared" si="7"/>
        <v>39.717999999999996</v>
      </c>
      <c r="T26">
        <f t="shared" si="8"/>
        <v>10.5</v>
      </c>
      <c r="U26">
        <f t="shared" si="9"/>
        <v>2646</v>
      </c>
    </row>
    <row r="27" spans="1:28" x14ac:dyDescent="0.3">
      <c r="A27" s="18">
        <v>20</v>
      </c>
      <c r="B27" t="s">
        <v>62</v>
      </c>
      <c r="C27" s="5" t="s">
        <v>76</v>
      </c>
      <c r="D27" s="6">
        <v>600</v>
      </c>
      <c r="E27" s="2">
        <v>65.23</v>
      </c>
      <c r="F27" s="2">
        <v>1.9554199999999999</v>
      </c>
      <c r="G27" s="2">
        <v>1.2529999999999999</v>
      </c>
      <c r="H27" s="2">
        <v>0</v>
      </c>
      <c r="I27" s="2">
        <v>2.1000000000000001E-2</v>
      </c>
      <c r="J27" s="2">
        <v>4.5420000000000002E-2</v>
      </c>
      <c r="K27" s="2">
        <v>4.8000000000000001E-2</v>
      </c>
      <c r="L27" s="2">
        <v>3.24</v>
      </c>
      <c r="N27">
        <f t="shared" si="2"/>
        <v>39138</v>
      </c>
      <c r="O27">
        <f t="shared" si="3"/>
        <v>1173.252</v>
      </c>
      <c r="P27">
        <f t="shared" si="4"/>
        <v>751.8</v>
      </c>
      <c r="Q27">
        <f t="shared" si="5"/>
        <v>0</v>
      </c>
      <c r="R27">
        <f t="shared" si="6"/>
        <v>12.600000000000001</v>
      </c>
      <c r="S27">
        <f t="shared" si="7"/>
        <v>27.252000000000002</v>
      </c>
      <c r="T27">
        <f t="shared" si="8"/>
        <v>28.8</v>
      </c>
      <c r="U27">
        <f t="shared" si="9"/>
        <v>1944.0000000000002</v>
      </c>
    </row>
    <row r="28" spans="1:28" x14ac:dyDescent="0.3">
      <c r="A28" s="18">
        <v>21</v>
      </c>
      <c r="B28" t="s">
        <v>65</v>
      </c>
      <c r="C28" s="5" t="s">
        <v>76</v>
      </c>
      <c r="D28" s="6">
        <v>500</v>
      </c>
      <c r="E28" s="2">
        <v>64.92</v>
      </c>
      <c r="F28" s="2">
        <v>1.8516699999999999</v>
      </c>
      <c r="G28" s="2">
        <v>1.6659999999999999</v>
      </c>
      <c r="H28" s="2">
        <v>0</v>
      </c>
      <c r="I28" s="2">
        <v>1.9E-2</v>
      </c>
      <c r="J28" s="2">
        <v>4.7160000000000001E-2</v>
      </c>
      <c r="K28" s="2">
        <v>1.4999999999999999E-2</v>
      </c>
      <c r="L28" s="2">
        <v>3.44</v>
      </c>
      <c r="N28">
        <f t="shared" si="2"/>
        <v>32460</v>
      </c>
      <c r="O28">
        <f t="shared" si="3"/>
        <v>925.83499999999992</v>
      </c>
      <c r="P28">
        <f t="shared" si="4"/>
        <v>833</v>
      </c>
      <c r="Q28">
        <f t="shared" si="5"/>
        <v>0</v>
      </c>
      <c r="R28">
        <f t="shared" si="6"/>
        <v>9.5</v>
      </c>
      <c r="S28">
        <f t="shared" si="7"/>
        <v>23.580000000000002</v>
      </c>
      <c r="T28">
        <f t="shared" si="8"/>
        <v>7.5</v>
      </c>
      <c r="U28">
        <f t="shared" si="9"/>
        <v>1720</v>
      </c>
    </row>
    <row r="29" spans="1:28" x14ac:dyDescent="0.3">
      <c r="A29" s="18">
        <v>22</v>
      </c>
      <c r="B29" t="s">
        <v>68</v>
      </c>
      <c r="C29" s="5" t="s">
        <v>76</v>
      </c>
      <c r="D29" s="6">
        <v>600</v>
      </c>
      <c r="E29" s="2">
        <v>64.81</v>
      </c>
      <c r="F29" s="2">
        <v>2.3145099999999998</v>
      </c>
      <c r="G29" s="2">
        <v>1.782</v>
      </c>
      <c r="H29" s="2">
        <v>0</v>
      </c>
      <c r="I29" s="2">
        <v>1.7999999999999999E-2</v>
      </c>
      <c r="J29" s="2">
        <v>4.3249999999999997E-2</v>
      </c>
      <c r="K29" s="2">
        <v>1.4E-2</v>
      </c>
      <c r="L29" s="2">
        <v>3.03</v>
      </c>
      <c r="N29">
        <f t="shared" si="2"/>
        <v>38886</v>
      </c>
      <c r="O29">
        <f t="shared" si="3"/>
        <v>1388.7059999999999</v>
      </c>
      <c r="P29">
        <f t="shared" si="4"/>
        <v>1069.2</v>
      </c>
      <c r="Q29">
        <f t="shared" si="5"/>
        <v>0</v>
      </c>
      <c r="R29">
        <f t="shared" si="6"/>
        <v>10.799999999999999</v>
      </c>
      <c r="S29">
        <f t="shared" si="7"/>
        <v>25.95</v>
      </c>
      <c r="T29">
        <f t="shared" si="8"/>
        <v>8.4</v>
      </c>
      <c r="U29">
        <f t="shared" si="9"/>
        <v>1817.9999999999998</v>
      </c>
    </row>
    <row r="30" spans="1:28" x14ac:dyDescent="0.3">
      <c r="C30" s="5"/>
      <c r="D30" s="6"/>
      <c r="E30" s="2"/>
      <c r="F30" s="2"/>
      <c r="G30" s="2"/>
      <c r="H30" s="2"/>
      <c r="I30" s="2"/>
      <c r="J30" s="2"/>
      <c r="K30" s="2"/>
      <c r="L30" s="2"/>
    </row>
    <row r="31" spans="1:28" x14ac:dyDescent="0.3">
      <c r="C31" s="5"/>
      <c r="D31" s="6"/>
      <c r="E31" s="2"/>
      <c r="F31" s="2"/>
      <c r="G31" s="2"/>
      <c r="H31" s="2"/>
      <c r="I31" s="2"/>
      <c r="J31" s="2"/>
      <c r="K31" s="2"/>
      <c r="L31" s="2"/>
    </row>
    <row r="32" spans="1:28" x14ac:dyDescent="0.3">
      <c r="C32" s="3" t="s">
        <v>79</v>
      </c>
      <c r="D32" s="17" t="s">
        <v>78</v>
      </c>
      <c r="E32" s="7" t="s">
        <v>5</v>
      </c>
      <c r="F32" s="8" t="s">
        <v>6</v>
      </c>
      <c r="G32" s="9" t="s">
        <v>7</v>
      </c>
      <c r="H32" s="10" t="s">
        <v>8</v>
      </c>
      <c r="I32" s="11" t="s">
        <v>9</v>
      </c>
      <c r="J32" s="12" t="s">
        <v>10</v>
      </c>
      <c r="K32" s="13" t="s">
        <v>11</v>
      </c>
      <c r="L32" s="14" t="s">
        <v>12</v>
      </c>
    </row>
    <row r="33" spans="3:21" x14ac:dyDescent="0.3">
      <c r="C33" s="5" t="s">
        <v>76</v>
      </c>
      <c r="D33" s="16">
        <f>SUMIF(C7:C29,"CLO",D7:D29)</f>
        <v>12400</v>
      </c>
      <c r="E33" s="2">
        <f>N33/$D$33</f>
        <v>64.112806451612911</v>
      </c>
      <c r="F33" s="2">
        <f t="shared" ref="F33:L33" si="10">O33/$D$33</f>
        <v>2.2569059999999999</v>
      </c>
      <c r="G33" s="2">
        <f t="shared" si="10"/>
        <v>1.9130919354838714</v>
      </c>
      <c r="H33" s="2">
        <f t="shared" si="10"/>
        <v>4.5306451612903219E-2</v>
      </c>
      <c r="I33" s="2">
        <f t="shared" si="10"/>
        <v>2.1309677419354838E-2</v>
      </c>
      <c r="J33" s="2">
        <f t="shared" si="10"/>
        <v>5.4595241935483874E-2</v>
      </c>
      <c r="K33" s="2">
        <f t="shared" si="10"/>
        <v>3.3283870967741935E-2</v>
      </c>
      <c r="L33" s="2">
        <f t="shared" si="10"/>
        <v>3.7124032258064519</v>
      </c>
      <c r="N33">
        <f t="shared" ref="N33:U33" si="11">SUMIF($C$7:$C$29,"CLO",N7:N29)</f>
        <v>794998.8</v>
      </c>
      <c r="O33">
        <f t="shared" si="11"/>
        <v>27985.634399999999</v>
      </c>
      <c r="P33">
        <f t="shared" si="11"/>
        <v>23722.340000000004</v>
      </c>
      <c r="Q33">
        <f t="shared" si="11"/>
        <v>561.79999999999995</v>
      </c>
      <c r="R33">
        <f t="shared" si="11"/>
        <v>264.24</v>
      </c>
      <c r="S33">
        <f t="shared" si="11"/>
        <v>676.98099999999999</v>
      </c>
      <c r="T33">
        <f t="shared" si="11"/>
        <v>412.71999999999997</v>
      </c>
      <c r="U33">
        <f t="shared" si="11"/>
        <v>46033.8</v>
      </c>
    </row>
    <row r="34" spans="3:21" x14ac:dyDescent="0.3">
      <c r="D34" s="17">
        <f>SUM(D33:D33)</f>
        <v>12400</v>
      </c>
    </row>
  </sheetData>
  <autoFilter ref="E6:L29" xr:uid="{1579C0D0-F81F-4F11-8C43-7C1CC967B1B0}"/>
  <mergeCells count="6">
    <mergeCell ref="C5:C6"/>
    <mergeCell ref="D5:D6"/>
    <mergeCell ref="M13:M17"/>
    <mergeCell ref="A1:B1"/>
    <mergeCell ref="A5:A6"/>
    <mergeCell ref="B5:B6"/>
  </mergeCells>
  <conditionalFormatting sqref="E13:E29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3BA2-99E3-47C6-B88B-5BD965229AF7}">
  <dimension ref="A1:L25"/>
  <sheetViews>
    <sheetView topLeftCell="A2" workbookViewId="0">
      <selection activeCell="D7" sqref="D7:D23"/>
    </sheetView>
  </sheetViews>
  <sheetFormatPr defaultRowHeight="14.4" x14ac:dyDescent="0.3"/>
  <cols>
    <col min="2" max="2" width="19.21875" bestFit="1" customWidth="1"/>
    <col min="3" max="3" width="12.21875" bestFit="1" customWidth="1"/>
  </cols>
  <sheetData>
    <row r="1" spans="1:12" ht="15.6" x14ac:dyDescent="0.3">
      <c r="A1" s="58" t="s">
        <v>70</v>
      </c>
      <c r="B1" s="55"/>
    </row>
    <row r="2" spans="1:12" x14ac:dyDescent="0.3">
      <c r="B2" s="15" t="s">
        <v>71</v>
      </c>
      <c r="C2" t="s">
        <v>72</v>
      </c>
    </row>
    <row r="3" spans="1:12" x14ac:dyDescent="0.3">
      <c r="B3" s="1" t="s">
        <v>0</v>
      </c>
      <c r="C3" t="s">
        <v>1</v>
      </c>
    </row>
    <row r="4" spans="1:12" x14ac:dyDescent="0.3">
      <c r="A4" s="64" t="s">
        <v>95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x14ac:dyDescent="0.3">
      <c r="A5" s="52" t="s">
        <v>2</v>
      </c>
      <c r="B5" s="59" t="s">
        <v>3</v>
      </c>
      <c r="C5" s="51" t="s">
        <v>74</v>
      </c>
      <c r="D5" s="51" t="s">
        <v>73</v>
      </c>
      <c r="E5" s="21" t="s">
        <v>4</v>
      </c>
    </row>
    <row r="6" spans="1:12" x14ac:dyDescent="0.3">
      <c r="A6" s="53"/>
      <c r="B6" s="55"/>
      <c r="C6" s="51"/>
      <c r="D6" s="51"/>
      <c r="E6" s="7" t="s">
        <v>5</v>
      </c>
      <c r="F6" s="8" t="s">
        <v>6</v>
      </c>
      <c r="G6" s="9" t="s">
        <v>7</v>
      </c>
      <c r="H6" s="10" t="s">
        <v>8</v>
      </c>
      <c r="I6" s="11" t="s">
        <v>9</v>
      </c>
      <c r="J6" s="12" t="s">
        <v>10</v>
      </c>
      <c r="K6" s="13" t="s">
        <v>11</v>
      </c>
      <c r="L6" s="14" t="s">
        <v>12</v>
      </c>
    </row>
    <row r="7" spans="1:12" x14ac:dyDescent="0.3">
      <c r="A7" s="18">
        <v>1</v>
      </c>
      <c r="B7" t="s">
        <v>80</v>
      </c>
      <c r="C7" s="19" t="s">
        <v>75</v>
      </c>
      <c r="D7" s="4">
        <v>1200</v>
      </c>
      <c r="E7" s="2">
        <v>60.41</v>
      </c>
      <c r="F7" s="2">
        <v>4.51858</v>
      </c>
      <c r="G7" s="2">
        <v>4.2809999999999997</v>
      </c>
      <c r="H7" s="2">
        <v>0</v>
      </c>
      <c r="I7" s="2">
        <v>5.1999999999999998E-2</v>
      </c>
      <c r="J7" s="2">
        <v>5.3019999999999998E-2</v>
      </c>
      <c r="K7" s="2">
        <v>2.5000000000000001E-2</v>
      </c>
      <c r="L7" s="2">
        <v>4.4800000000000004</v>
      </c>
    </row>
    <row r="8" spans="1:12" x14ac:dyDescent="0.3">
      <c r="A8" s="18">
        <v>2</v>
      </c>
      <c r="B8" t="s">
        <v>82</v>
      </c>
      <c r="C8" s="19" t="s">
        <v>75</v>
      </c>
      <c r="D8" s="4">
        <v>1200</v>
      </c>
      <c r="E8" s="2">
        <v>60.27</v>
      </c>
      <c r="F8" s="2">
        <v>5.0258799999999999</v>
      </c>
      <c r="G8" s="2">
        <v>4.2140000000000004</v>
      </c>
      <c r="H8" s="2">
        <v>0</v>
      </c>
      <c r="I8" s="2">
        <v>7.0999999999999994E-2</v>
      </c>
      <c r="J8" s="2">
        <v>5.4719999999999998E-2</v>
      </c>
      <c r="K8" s="2">
        <v>1.4999999999999999E-2</v>
      </c>
      <c r="L8" s="2">
        <v>4.2300000000000004</v>
      </c>
    </row>
    <row r="9" spans="1:12" x14ac:dyDescent="0.3">
      <c r="A9" s="18">
        <v>3</v>
      </c>
      <c r="B9" t="s">
        <v>84</v>
      </c>
      <c r="C9" s="19" t="s">
        <v>75</v>
      </c>
      <c r="D9" s="4">
        <v>1200</v>
      </c>
      <c r="E9" s="2">
        <v>60.395000000000003</v>
      </c>
      <c r="F9" s="2">
        <v>4.5590000000000002</v>
      </c>
      <c r="G9" s="2">
        <v>3.895</v>
      </c>
      <c r="H9" s="2"/>
      <c r="I9" s="2"/>
      <c r="J9" s="2">
        <v>4.2000000000000003E-2</v>
      </c>
      <c r="K9" s="2"/>
      <c r="L9" s="2">
        <v>4.2699999999999996</v>
      </c>
    </row>
    <row r="10" spans="1:12" x14ac:dyDescent="0.3">
      <c r="A10" s="18">
        <v>4</v>
      </c>
      <c r="B10" t="s">
        <v>86</v>
      </c>
      <c r="C10" s="19" t="s">
        <v>75</v>
      </c>
      <c r="D10" s="4">
        <v>1000</v>
      </c>
      <c r="E10" s="2">
        <v>60.47</v>
      </c>
      <c r="F10" s="2">
        <v>4.78</v>
      </c>
      <c r="G10" s="2">
        <v>3.8130000000000002</v>
      </c>
      <c r="H10" s="2"/>
      <c r="I10" s="2"/>
      <c r="J10" s="2">
        <v>5.2999999999999999E-2</v>
      </c>
      <c r="K10" s="2"/>
      <c r="L10" s="2">
        <v>4.75</v>
      </c>
    </row>
    <row r="11" spans="1:12" x14ac:dyDescent="0.3">
      <c r="A11" s="18">
        <v>5</v>
      </c>
      <c r="B11" t="s">
        <v>87</v>
      </c>
      <c r="C11" s="19" t="s">
        <v>75</v>
      </c>
      <c r="D11" s="4">
        <v>1000</v>
      </c>
      <c r="E11" s="2">
        <v>61.372</v>
      </c>
      <c r="F11" s="2">
        <v>4.3899999999999997</v>
      </c>
      <c r="G11" s="2">
        <v>2.794</v>
      </c>
      <c r="H11" s="2"/>
      <c r="I11" s="2"/>
      <c r="J11" s="2">
        <v>4.4999999999999998E-2</v>
      </c>
      <c r="K11" s="2"/>
      <c r="L11" s="2">
        <v>4.75</v>
      </c>
    </row>
    <row r="12" spans="1:12" x14ac:dyDescent="0.3">
      <c r="A12" s="18">
        <v>6</v>
      </c>
      <c r="B12" t="s">
        <v>89</v>
      </c>
      <c r="C12" s="19" t="s">
        <v>75</v>
      </c>
      <c r="D12" s="4">
        <v>1400</v>
      </c>
      <c r="E12" s="2">
        <v>62.500999999999998</v>
      </c>
      <c r="F12" s="2">
        <v>3.56</v>
      </c>
      <c r="G12" s="2">
        <v>2.9769999999999999</v>
      </c>
      <c r="H12" s="2"/>
      <c r="I12" s="2"/>
      <c r="J12" s="2">
        <v>3.1E-2</v>
      </c>
      <c r="K12" s="2"/>
      <c r="L12" s="2">
        <v>3.92</v>
      </c>
    </row>
    <row r="13" spans="1:12" x14ac:dyDescent="0.3">
      <c r="A13" s="18">
        <v>7</v>
      </c>
      <c r="B13" t="s">
        <v>90</v>
      </c>
      <c r="C13" s="19" t="s">
        <v>75</v>
      </c>
      <c r="D13" s="4">
        <v>1000</v>
      </c>
      <c r="E13" s="2">
        <v>62.725999999999999</v>
      </c>
      <c r="F13" s="2">
        <v>3.89</v>
      </c>
      <c r="G13" s="2">
        <v>2.4670000000000001</v>
      </c>
      <c r="H13" s="2"/>
      <c r="I13" s="2"/>
      <c r="J13" s="2">
        <v>4.2000000000000003E-2</v>
      </c>
      <c r="K13" s="2"/>
      <c r="L13" s="2">
        <v>3.86</v>
      </c>
    </row>
    <row r="14" spans="1:12" x14ac:dyDescent="0.3">
      <c r="A14" s="18">
        <v>8</v>
      </c>
      <c r="B14" t="s">
        <v>13</v>
      </c>
      <c r="C14" s="3" t="s">
        <v>75</v>
      </c>
      <c r="D14" s="4">
        <v>1400</v>
      </c>
      <c r="E14" s="2">
        <v>61.16</v>
      </c>
      <c r="F14" s="2">
        <v>4.4503199999999996</v>
      </c>
      <c r="G14" s="2">
        <v>3.698</v>
      </c>
      <c r="H14" s="2">
        <v>0</v>
      </c>
      <c r="I14" s="2">
        <v>7.3999999999999996E-2</v>
      </c>
      <c r="J14" s="2">
        <v>5.382E-2</v>
      </c>
      <c r="K14" s="2">
        <v>1.7999999999999999E-2</v>
      </c>
      <c r="L14" s="2">
        <v>4</v>
      </c>
    </row>
    <row r="15" spans="1:12" x14ac:dyDescent="0.3">
      <c r="A15" s="18">
        <v>9</v>
      </c>
      <c r="B15" t="s">
        <v>14</v>
      </c>
      <c r="C15" s="3" t="s">
        <v>75</v>
      </c>
      <c r="D15" s="4">
        <v>1000</v>
      </c>
      <c r="E15" s="2">
        <v>60.77</v>
      </c>
      <c r="F15" s="2">
        <v>4.7812799999999998</v>
      </c>
      <c r="G15" s="2">
        <v>4.0350000000000001</v>
      </c>
      <c r="H15" s="2">
        <v>0</v>
      </c>
      <c r="I15" s="2">
        <v>7.8E-2</v>
      </c>
      <c r="J15" s="2">
        <v>4.965E-2</v>
      </c>
      <c r="K15" s="2">
        <v>2.5000000000000001E-2</v>
      </c>
      <c r="L15" s="2">
        <v>3.94</v>
      </c>
    </row>
    <row r="16" spans="1:12" x14ac:dyDescent="0.3">
      <c r="A16" s="18">
        <v>10</v>
      </c>
      <c r="B16" t="s">
        <v>16</v>
      </c>
      <c r="C16" s="3" t="s">
        <v>75</v>
      </c>
      <c r="D16" s="6">
        <v>1400</v>
      </c>
      <c r="E16" s="2">
        <v>60.27</v>
      </c>
      <c r="F16" s="2">
        <v>4.7517899999999997</v>
      </c>
      <c r="G16" s="2">
        <v>4.282</v>
      </c>
      <c r="H16" s="2">
        <v>0</v>
      </c>
      <c r="I16" s="2">
        <v>7.8E-2</v>
      </c>
      <c r="J16" s="2">
        <v>5.5379999999999999E-2</v>
      </c>
      <c r="K16" s="2">
        <v>1.7000000000000001E-2</v>
      </c>
      <c r="L16" s="2">
        <v>4.4400000000000004</v>
      </c>
    </row>
    <row r="17" spans="1:12" x14ac:dyDescent="0.3">
      <c r="A17" s="18">
        <v>11</v>
      </c>
      <c r="B17" t="s">
        <v>42</v>
      </c>
      <c r="C17" s="5" t="s">
        <v>75</v>
      </c>
      <c r="D17" s="6">
        <v>1000</v>
      </c>
      <c r="E17" s="2">
        <v>60.62</v>
      </c>
      <c r="F17" s="2">
        <v>4.5429700000000004</v>
      </c>
      <c r="G17" s="2">
        <v>3.7040000000000002</v>
      </c>
      <c r="H17" s="2">
        <v>0</v>
      </c>
      <c r="I17" s="2">
        <v>5.8000000000000003E-2</v>
      </c>
      <c r="J17" s="2">
        <v>5.8270000000000002E-2</v>
      </c>
      <c r="K17" s="2">
        <v>0.02</v>
      </c>
      <c r="L17" s="2">
        <v>4.71</v>
      </c>
    </row>
    <row r="18" spans="1:12" x14ac:dyDescent="0.3">
      <c r="A18" s="18">
        <v>12</v>
      </c>
      <c r="B18" t="s">
        <v>45</v>
      </c>
      <c r="C18" s="5" t="s">
        <v>75</v>
      </c>
      <c r="D18" s="6">
        <v>1400</v>
      </c>
      <c r="E18" s="2">
        <v>60.35</v>
      </c>
      <c r="F18" s="2">
        <v>4.5502900000000004</v>
      </c>
      <c r="G18" s="2">
        <v>4.0590000000000002</v>
      </c>
      <c r="H18" s="2">
        <v>0</v>
      </c>
      <c r="I18" s="2">
        <v>0.06</v>
      </c>
      <c r="J18" s="2">
        <v>5.7820000000000003E-2</v>
      </c>
      <c r="K18" s="2">
        <v>0.02</v>
      </c>
      <c r="L18" s="2">
        <v>4.74</v>
      </c>
    </row>
    <row r="19" spans="1:12" x14ac:dyDescent="0.3">
      <c r="A19" s="18">
        <v>13</v>
      </c>
      <c r="B19" t="s">
        <v>46</v>
      </c>
      <c r="C19" s="5" t="s">
        <v>75</v>
      </c>
      <c r="D19" s="6">
        <v>1000</v>
      </c>
      <c r="E19" s="2">
        <v>60.14</v>
      </c>
      <c r="F19" s="2">
        <v>4.6277100000000004</v>
      </c>
      <c r="G19" s="2">
        <v>4.3109999999999999</v>
      </c>
      <c r="H19" s="2">
        <v>0</v>
      </c>
      <c r="I19" s="2">
        <v>0.06</v>
      </c>
      <c r="J19" s="2">
        <v>5.808E-2</v>
      </c>
      <c r="K19" s="2">
        <v>1.7999999999999999E-2</v>
      </c>
      <c r="L19" s="2">
        <v>4.74</v>
      </c>
    </row>
    <row r="20" spans="1:12" x14ac:dyDescent="0.3">
      <c r="A20" s="18">
        <v>14</v>
      </c>
      <c r="B20" t="s">
        <v>48</v>
      </c>
      <c r="C20" s="5" t="s">
        <v>75</v>
      </c>
      <c r="D20" s="6">
        <v>1400</v>
      </c>
      <c r="E20" s="2">
        <v>62.48</v>
      </c>
      <c r="F20" s="2">
        <v>3.8854000000000002</v>
      </c>
      <c r="G20" s="2">
        <v>2.6040000000000001</v>
      </c>
      <c r="H20" s="2">
        <v>0</v>
      </c>
      <c r="I20" s="2">
        <v>4.8000000000000001E-2</v>
      </c>
      <c r="J20" s="2">
        <v>4.7649999999999998E-2</v>
      </c>
      <c r="K20" s="2">
        <v>3.6999999999999998E-2</v>
      </c>
      <c r="L20" s="2">
        <v>3.8</v>
      </c>
    </row>
    <row r="21" spans="1:12" x14ac:dyDescent="0.3">
      <c r="A21" s="18">
        <v>15</v>
      </c>
      <c r="B21" t="s">
        <v>49</v>
      </c>
      <c r="C21" s="5" t="s">
        <v>75</v>
      </c>
      <c r="D21" s="6">
        <v>1000</v>
      </c>
      <c r="E21" s="2">
        <v>62.43</v>
      </c>
      <c r="F21" s="2">
        <v>3.9959500000000001</v>
      </c>
      <c r="G21" s="2">
        <v>2.6459999999999999</v>
      </c>
      <c r="H21" s="2">
        <v>0</v>
      </c>
      <c r="I21" s="2">
        <v>0.05</v>
      </c>
      <c r="J21" s="2">
        <v>4.87E-2</v>
      </c>
      <c r="K21" s="2">
        <v>4.3999999999999997E-2</v>
      </c>
      <c r="L21" s="2">
        <v>3.72</v>
      </c>
    </row>
    <row r="22" spans="1:12" x14ac:dyDescent="0.3">
      <c r="A22" s="18">
        <v>16</v>
      </c>
      <c r="B22" t="s">
        <v>50</v>
      </c>
      <c r="C22" s="5" t="s">
        <v>75</v>
      </c>
      <c r="D22" s="6">
        <v>1400</v>
      </c>
      <c r="E22" s="2">
        <v>60.67</v>
      </c>
      <c r="F22" s="2">
        <v>4.9371799999999997</v>
      </c>
      <c r="G22" s="2">
        <v>3.6419999999999999</v>
      </c>
      <c r="H22" s="2">
        <v>0</v>
      </c>
      <c r="I22" s="2">
        <v>6.8000000000000005E-2</v>
      </c>
      <c r="J22" s="2">
        <v>5.3249999999999999E-2</v>
      </c>
      <c r="K22" s="2">
        <v>0.03</v>
      </c>
      <c r="L22" s="2">
        <v>4.24</v>
      </c>
    </row>
    <row r="23" spans="1:12" x14ac:dyDescent="0.3">
      <c r="A23" s="18">
        <v>17</v>
      </c>
      <c r="B23" t="s">
        <v>51</v>
      </c>
      <c r="C23" s="5" t="s">
        <v>75</v>
      </c>
      <c r="D23" s="6">
        <v>1000</v>
      </c>
      <c r="E23" s="2">
        <v>61.09</v>
      </c>
      <c r="F23" s="2">
        <v>4.9152300000000002</v>
      </c>
      <c r="G23" s="2">
        <v>3.379</v>
      </c>
      <c r="H23" s="2">
        <v>0</v>
      </c>
      <c r="I23" s="2">
        <v>6.0999999999999999E-2</v>
      </c>
      <c r="J23" s="2">
        <v>5.0950000000000002E-2</v>
      </c>
      <c r="K23" s="2">
        <v>2.1999999999999999E-2</v>
      </c>
      <c r="L23" s="2">
        <v>4</v>
      </c>
    </row>
    <row r="24" spans="1:12" ht="43.2" x14ac:dyDescent="0.3">
      <c r="A24" s="18">
        <v>18</v>
      </c>
      <c r="B24" s="41" t="s">
        <v>92</v>
      </c>
      <c r="C24" s="3" t="s">
        <v>75</v>
      </c>
      <c r="D24" s="4">
        <v>29600</v>
      </c>
      <c r="E24" s="43">
        <v>60.612108108108103</v>
      </c>
      <c r="F24" s="43">
        <v>4.8834250405405415</v>
      </c>
      <c r="G24" s="43">
        <v>3.7874229729729736</v>
      </c>
      <c r="H24" s="43">
        <v>0.17150405405405403</v>
      </c>
      <c r="I24" s="43">
        <v>7.2083783783783772E-2</v>
      </c>
      <c r="J24" s="43">
        <v>4.9565756756756757E-2</v>
      </c>
      <c r="K24" s="43">
        <v>2.2035135135135137E-2</v>
      </c>
      <c r="L24" s="43">
        <v>4.1130810810810807</v>
      </c>
    </row>
    <row r="25" spans="1:12" x14ac:dyDescent="0.3">
      <c r="B25" s="64" t="s">
        <v>96</v>
      </c>
      <c r="C25" s="64"/>
      <c r="D25" s="2">
        <f>SUM(D7:D24)</f>
        <v>49600</v>
      </c>
      <c r="E25" s="2">
        <f>SUMPRODUCT($D$7:$D$24,E7:E24)/$D$25</f>
        <v>60.794955645161288</v>
      </c>
      <c r="F25" s="2">
        <f t="shared" ref="F25:L25" si="0">SUMPRODUCT($D$7:$D$24,F7:F24)/$D$25</f>
        <v>4.7174525241935488</v>
      </c>
      <c r="G25" s="2">
        <f t="shared" si="0"/>
        <v>3.7074903225806457</v>
      </c>
      <c r="H25" s="2">
        <f t="shared" si="0"/>
        <v>0.10234919354838709</v>
      </c>
      <c r="I25" s="2">
        <f t="shared" si="0"/>
        <v>6.1441129032258068E-2</v>
      </c>
      <c r="J25" s="2">
        <f t="shared" si="0"/>
        <v>4.981799193548387E-2</v>
      </c>
      <c r="K25" s="2">
        <f t="shared" si="0"/>
        <v>2.0162096774193547E-2</v>
      </c>
      <c r="L25" s="2">
        <f t="shared" si="0"/>
        <v>4.1731693548387092</v>
      </c>
    </row>
  </sheetData>
  <mergeCells count="7">
    <mergeCell ref="D5:D6"/>
    <mergeCell ref="A4:L4"/>
    <mergeCell ref="B25:C25"/>
    <mergeCell ref="A1:B1"/>
    <mergeCell ref="A5:A6"/>
    <mergeCell ref="B5:B6"/>
    <mergeCell ref="C5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4965-A9D9-415F-AE02-9105EB33DABE}">
  <dimension ref="G2:K18"/>
  <sheetViews>
    <sheetView workbookViewId="0">
      <selection activeCell="G2" sqref="G2:K7"/>
    </sheetView>
  </sheetViews>
  <sheetFormatPr defaultRowHeight="14.4" x14ac:dyDescent="0.3"/>
  <cols>
    <col min="7" max="7" width="12.33203125" customWidth="1"/>
    <col min="10" max="10" width="10.5546875" bestFit="1" customWidth="1"/>
    <col min="11" max="11" width="11.77734375" customWidth="1"/>
  </cols>
  <sheetData>
    <row r="2" spans="7:11" ht="15" thickBot="1" x14ac:dyDescent="0.35">
      <c r="G2" s="69" t="s">
        <v>103</v>
      </c>
      <c r="H2" s="69"/>
      <c r="I2" s="69"/>
      <c r="J2" s="69"/>
      <c r="K2" s="69"/>
    </row>
    <row r="3" spans="7:11" ht="16.2" thickBot="1" x14ac:dyDescent="0.35">
      <c r="G3" s="65"/>
      <c r="H3" s="67" t="s">
        <v>97</v>
      </c>
      <c r="I3" s="68"/>
      <c r="J3" s="67" t="s">
        <v>98</v>
      </c>
      <c r="K3" s="68"/>
    </row>
    <row r="4" spans="7:11" ht="16.2" thickBot="1" x14ac:dyDescent="0.35">
      <c r="G4" s="66"/>
      <c r="H4" s="44" t="s">
        <v>75</v>
      </c>
      <c r="I4" s="44" t="s">
        <v>76</v>
      </c>
      <c r="J4" s="44" t="s">
        <v>75</v>
      </c>
      <c r="K4" s="44" t="s">
        <v>76</v>
      </c>
    </row>
    <row r="5" spans="7:11" ht="16.2" thickBot="1" x14ac:dyDescent="0.35">
      <c r="G5" s="45" t="s">
        <v>99</v>
      </c>
      <c r="H5" s="44">
        <v>12300</v>
      </c>
      <c r="I5" s="44">
        <v>2800</v>
      </c>
      <c r="J5" s="44">
        <v>42700</v>
      </c>
      <c r="K5" s="44">
        <v>11300</v>
      </c>
    </row>
    <row r="6" spans="7:11" ht="16.2" thickBot="1" x14ac:dyDescent="0.35">
      <c r="G6" s="45" t="s">
        <v>100</v>
      </c>
      <c r="H6" s="44">
        <v>30400</v>
      </c>
      <c r="I6" s="44">
        <v>8500</v>
      </c>
      <c r="J6" s="46">
        <f>J5-J7</f>
        <v>-14660.160000000003</v>
      </c>
      <c r="K6" s="46">
        <f>K5-K7</f>
        <v>-6142.8499999999985</v>
      </c>
    </row>
    <row r="7" spans="7:11" ht="16.2" thickBot="1" x14ac:dyDescent="0.35">
      <c r="G7" s="45" t="s">
        <v>96</v>
      </c>
      <c r="H7" s="44">
        <f>SUM(H5:H6)</f>
        <v>42700</v>
      </c>
      <c r="I7" s="44">
        <f>SUM(I5:I6)</f>
        <v>11300</v>
      </c>
      <c r="J7" s="44">
        <v>57360.160000000003</v>
      </c>
      <c r="K7" s="44">
        <v>17442.849999999999</v>
      </c>
    </row>
    <row r="11" spans="7:11" ht="34.799999999999997" customHeight="1" x14ac:dyDescent="0.3"/>
    <row r="13" spans="7:11" ht="15" thickBot="1" x14ac:dyDescent="0.35">
      <c r="G13" s="69" t="s">
        <v>102</v>
      </c>
      <c r="H13" s="69"/>
      <c r="I13" s="69"/>
      <c r="J13" s="69"/>
      <c r="K13" s="69"/>
    </row>
    <row r="14" spans="7:11" ht="16.2" thickBot="1" x14ac:dyDescent="0.35">
      <c r="G14" s="65"/>
      <c r="H14" s="67" t="s">
        <v>97</v>
      </c>
      <c r="I14" s="68"/>
      <c r="J14" s="67" t="s">
        <v>98</v>
      </c>
      <c r="K14" s="68"/>
    </row>
    <row r="15" spans="7:11" ht="16.2" thickBot="1" x14ac:dyDescent="0.35">
      <c r="G15" s="66"/>
      <c r="H15" s="44" t="s">
        <v>75</v>
      </c>
      <c r="I15" s="44" t="s">
        <v>76</v>
      </c>
      <c r="J15" s="44" t="s">
        <v>75</v>
      </c>
      <c r="K15" s="44" t="s">
        <v>76</v>
      </c>
    </row>
    <row r="16" spans="7:11" ht="16.2" thickBot="1" x14ac:dyDescent="0.35">
      <c r="G16" s="45" t="s">
        <v>99</v>
      </c>
      <c r="H16" s="44">
        <v>20000</v>
      </c>
      <c r="I16" s="44">
        <v>10400</v>
      </c>
      <c r="J16" s="44">
        <v>39332.730000000003</v>
      </c>
      <c r="K16" s="44">
        <v>28485.15</v>
      </c>
    </row>
    <row r="17" spans="7:11" ht="31.8" thickBot="1" x14ac:dyDescent="0.35">
      <c r="G17" s="45" t="s">
        <v>100</v>
      </c>
      <c r="H17" s="44">
        <v>29600</v>
      </c>
      <c r="I17" s="44">
        <v>2000</v>
      </c>
      <c r="J17" s="46">
        <v>10267.27</v>
      </c>
      <c r="K17" s="44" t="s">
        <v>101</v>
      </c>
    </row>
    <row r="18" spans="7:11" ht="16.2" thickBot="1" x14ac:dyDescent="0.35">
      <c r="G18" s="45" t="s">
        <v>96</v>
      </c>
      <c r="H18" s="44">
        <v>49600</v>
      </c>
      <c r="I18" s="44">
        <v>12400</v>
      </c>
      <c r="J18" s="44">
        <v>39332.730000000003</v>
      </c>
      <c r="K18" s="44">
        <v>28485.15</v>
      </c>
    </row>
  </sheetData>
  <mergeCells count="8">
    <mergeCell ref="G14:G15"/>
    <mergeCell ref="H14:I14"/>
    <mergeCell ref="J14:K14"/>
    <mergeCell ref="G13:K13"/>
    <mergeCell ref="G2:K2"/>
    <mergeCell ref="G3:G4"/>
    <mergeCell ref="H3:I3"/>
    <mergeCell ref="J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051C-8F14-478A-8E49-478D564F888E}">
  <dimension ref="A1:L24"/>
  <sheetViews>
    <sheetView workbookViewId="0">
      <selection activeCell="D7" sqref="D7:D23"/>
    </sheetView>
  </sheetViews>
  <sheetFormatPr defaultRowHeight="14.4" x14ac:dyDescent="0.3"/>
  <cols>
    <col min="2" max="2" width="19.21875" bestFit="1" customWidth="1"/>
    <col min="17" max="17" width="12" bestFit="1" customWidth="1"/>
  </cols>
  <sheetData>
    <row r="1" spans="1:12" x14ac:dyDescent="0.3">
      <c r="A1" s="64" t="s">
        <v>94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x14ac:dyDescent="0.3">
      <c r="A2" s="42"/>
      <c r="B2" s="15" t="s">
        <v>71</v>
      </c>
      <c r="C2" t="s">
        <v>72</v>
      </c>
      <c r="D2" s="42"/>
      <c r="E2" s="42"/>
      <c r="F2" s="42"/>
      <c r="G2" s="42"/>
      <c r="H2" s="42"/>
      <c r="I2" s="42"/>
      <c r="J2" s="42"/>
      <c r="K2" s="42"/>
      <c r="L2" s="42"/>
    </row>
    <row r="3" spans="1:12" x14ac:dyDescent="0.3">
      <c r="A3" s="42"/>
      <c r="B3" s="1" t="s">
        <v>0</v>
      </c>
      <c r="C3" t="s">
        <v>1</v>
      </c>
      <c r="D3" s="42"/>
      <c r="E3" s="42"/>
      <c r="F3" s="42"/>
      <c r="G3" s="42"/>
      <c r="H3" s="42"/>
      <c r="I3" s="42"/>
      <c r="J3" s="42"/>
      <c r="K3" s="42"/>
      <c r="L3" s="42"/>
    </row>
    <row r="4" spans="1:12" x14ac:dyDescent="0.3">
      <c r="A4" s="52" t="s">
        <v>2</v>
      </c>
      <c r="B4" s="59" t="s">
        <v>3</v>
      </c>
      <c r="C4" s="71" t="s">
        <v>74</v>
      </c>
      <c r="D4" s="51" t="s">
        <v>73</v>
      </c>
      <c r="E4" s="70" t="s">
        <v>4</v>
      </c>
      <c r="F4" s="70"/>
      <c r="G4" s="70"/>
      <c r="H4" s="70"/>
      <c r="I4" s="70"/>
      <c r="J4" s="70"/>
      <c r="K4" s="70"/>
      <c r="L4" s="70"/>
    </row>
    <row r="5" spans="1:12" x14ac:dyDescent="0.3">
      <c r="A5" s="53"/>
      <c r="B5" s="55"/>
      <c r="C5" s="71"/>
      <c r="D5" s="51"/>
      <c r="E5" s="7" t="s">
        <v>5</v>
      </c>
      <c r="F5" s="8" t="s">
        <v>6</v>
      </c>
      <c r="G5" s="9" t="s">
        <v>7</v>
      </c>
      <c r="H5" s="10" t="s">
        <v>8</v>
      </c>
      <c r="I5" s="11" t="s">
        <v>9</v>
      </c>
      <c r="J5" s="12" t="s">
        <v>10</v>
      </c>
      <c r="K5" s="13" t="s">
        <v>11</v>
      </c>
      <c r="L5" s="14" t="s">
        <v>12</v>
      </c>
    </row>
    <row r="6" spans="1:12" ht="43.2" x14ac:dyDescent="0.3">
      <c r="A6">
        <v>1</v>
      </c>
      <c r="B6" s="41" t="s">
        <v>93</v>
      </c>
      <c r="C6" s="3" t="s">
        <v>76</v>
      </c>
      <c r="D6" s="17">
        <v>2000</v>
      </c>
      <c r="E6" s="17">
        <v>62.796999999999997</v>
      </c>
      <c r="F6" s="17">
        <v>2.9684565000000003</v>
      </c>
      <c r="G6" s="17">
        <v>2.6656499999999999</v>
      </c>
      <c r="H6" s="17">
        <v>4.4999999999999997E-3</v>
      </c>
      <c r="I6" s="17">
        <v>1.035E-2</v>
      </c>
      <c r="J6" s="17">
        <v>5.0246499999999999E-2</v>
      </c>
      <c r="K6" s="17">
        <v>5.4000000000000003E-3</v>
      </c>
      <c r="L6" s="17">
        <v>4.1875</v>
      </c>
    </row>
    <row r="7" spans="1:12" x14ac:dyDescent="0.3">
      <c r="A7" s="18">
        <v>6</v>
      </c>
      <c r="B7" t="s">
        <v>15</v>
      </c>
      <c r="C7" s="5" t="s">
        <v>76</v>
      </c>
      <c r="D7" s="6">
        <v>600</v>
      </c>
      <c r="E7" s="2">
        <v>65.05</v>
      </c>
      <c r="F7" s="2">
        <v>1.67397</v>
      </c>
      <c r="G7" s="2">
        <v>1.7589999999999999</v>
      </c>
      <c r="H7" s="2">
        <v>0</v>
      </c>
      <c r="I7" s="2">
        <v>2.1000000000000001E-2</v>
      </c>
      <c r="J7" s="2">
        <v>5.6660000000000002E-2</v>
      </c>
      <c r="K7" s="2">
        <v>1.2999999999999999E-2</v>
      </c>
      <c r="L7" s="2">
        <v>3.31</v>
      </c>
    </row>
    <row r="8" spans="1:12" x14ac:dyDescent="0.3">
      <c r="A8" s="18">
        <v>7</v>
      </c>
      <c r="B8" t="s">
        <v>18</v>
      </c>
      <c r="C8" s="3" t="s">
        <v>76</v>
      </c>
      <c r="D8" s="6">
        <v>600</v>
      </c>
      <c r="E8" s="2">
        <v>63.47</v>
      </c>
      <c r="F8" s="2">
        <v>2.3587799999999999</v>
      </c>
      <c r="G8" s="2">
        <v>2.6429999999999998</v>
      </c>
      <c r="H8" s="2">
        <v>0</v>
      </c>
      <c r="I8" s="2">
        <v>0.03</v>
      </c>
      <c r="J8" s="2">
        <v>6.3500000000000001E-2</v>
      </c>
      <c r="K8" s="2">
        <v>0.01</v>
      </c>
      <c r="L8" s="2">
        <v>3.94</v>
      </c>
    </row>
    <row r="9" spans="1:12" x14ac:dyDescent="0.3">
      <c r="A9" s="18">
        <v>8</v>
      </c>
      <c r="B9" t="s">
        <v>19</v>
      </c>
      <c r="C9" s="5" t="s">
        <v>76</v>
      </c>
      <c r="D9" s="6">
        <v>680</v>
      </c>
      <c r="E9" s="2">
        <v>64.510000000000005</v>
      </c>
      <c r="F9" s="2">
        <v>2.0233699999999999</v>
      </c>
      <c r="G9" s="2">
        <v>1.974</v>
      </c>
      <c r="H9" s="2">
        <v>0.17499999999999999</v>
      </c>
      <c r="I9" s="2">
        <v>3.3000000000000002E-2</v>
      </c>
      <c r="J9" s="2">
        <v>5.1950000000000003E-2</v>
      </c>
      <c r="K9" s="2">
        <v>2.1999999999999999E-2</v>
      </c>
      <c r="L9" s="2">
        <v>3.32</v>
      </c>
    </row>
    <row r="10" spans="1:12" x14ac:dyDescent="0.3">
      <c r="A10" s="18">
        <v>9</v>
      </c>
      <c r="B10" t="s">
        <v>25</v>
      </c>
      <c r="C10" s="5" t="s">
        <v>76</v>
      </c>
      <c r="D10" s="6">
        <v>600</v>
      </c>
      <c r="E10" s="2">
        <v>65.25</v>
      </c>
      <c r="F10" s="2">
        <v>1.45766</v>
      </c>
      <c r="G10" s="2">
        <v>1.321</v>
      </c>
      <c r="H10" s="2">
        <v>0</v>
      </c>
      <c r="I10" s="2">
        <v>0.02</v>
      </c>
      <c r="J10" s="2">
        <v>6.2379999999999998E-2</v>
      </c>
      <c r="K10" s="2">
        <v>6.0000000000000001E-3</v>
      </c>
      <c r="L10" s="2">
        <v>3.39</v>
      </c>
    </row>
    <row r="11" spans="1:12" x14ac:dyDescent="0.3">
      <c r="A11" s="18">
        <v>10</v>
      </c>
      <c r="B11" t="s">
        <v>29</v>
      </c>
      <c r="C11" s="5" t="s">
        <v>76</v>
      </c>
      <c r="D11" s="6">
        <v>640</v>
      </c>
      <c r="E11" s="2">
        <v>64.040000000000006</v>
      </c>
      <c r="F11" s="2">
        <v>2.1650700000000001</v>
      </c>
      <c r="G11" s="2">
        <v>1.9379999999999999</v>
      </c>
      <c r="H11" s="2">
        <v>0</v>
      </c>
      <c r="I11" s="2">
        <v>1.7999999999999999E-2</v>
      </c>
      <c r="J11" s="2">
        <v>6.9589999999999999E-2</v>
      </c>
      <c r="K11" s="2">
        <v>7.0000000000000001E-3</v>
      </c>
      <c r="L11" s="2">
        <v>3.9</v>
      </c>
    </row>
    <row r="12" spans="1:12" x14ac:dyDescent="0.3">
      <c r="A12" s="18">
        <v>11</v>
      </c>
      <c r="B12" t="s">
        <v>32</v>
      </c>
      <c r="C12" s="5" t="s">
        <v>76</v>
      </c>
      <c r="D12" s="6">
        <v>600</v>
      </c>
      <c r="E12" s="2">
        <v>63.75</v>
      </c>
      <c r="F12" s="2">
        <v>1.7609699999999999</v>
      </c>
      <c r="G12" s="2">
        <v>2.3220000000000001</v>
      </c>
      <c r="H12" s="2">
        <v>0</v>
      </c>
      <c r="I12" s="2">
        <v>1.9E-2</v>
      </c>
      <c r="J12" s="2">
        <v>7.9269999999999993E-2</v>
      </c>
      <c r="K12" s="2">
        <v>1.0999999999999999E-2</v>
      </c>
      <c r="L12" s="2">
        <v>4.45</v>
      </c>
    </row>
    <row r="13" spans="1:12" x14ac:dyDescent="0.3">
      <c r="A13" s="18">
        <v>12</v>
      </c>
      <c r="B13" t="s">
        <v>36</v>
      </c>
      <c r="C13" s="5" t="s">
        <v>76</v>
      </c>
      <c r="D13" s="6">
        <v>640</v>
      </c>
      <c r="E13" s="2">
        <v>64.66</v>
      </c>
      <c r="F13" s="2">
        <v>1.92624</v>
      </c>
      <c r="G13" s="2">
        <v>1.306</v>
      </c>
      <c r="H13" s="2">
        <v>0</v>
      </c>
      <c r="I13" s="2">
        <v>1.2999999999999999E-2</v>
      </c>
      <c r="J13" s="2">
        <v>5.4769999999999999E-2</v>
      </c>
      <c r="K13" s="2">
        <v>3.6999999999999998E-2</v>
      </c>
      <c r="L13" s="2">
        <v>3.95</v>
      </c>
    </row>
    <row r="14" spans="1:12" x14ac:dyDescent="0.3">
      <c r="A14" s="18">
        <v>13</v>
      </c>
      <c r="B14" t="s">
        <v>39</v>
      </c>
      <c r="C14" s="5" t="s">
        <v>76</v>
      </c>
      <c r="D14" s="6">
        <v>600</v>
      </c>
      <c r="E14" s="2">
        <v>64.87</v>
      </c>
      <c r="F14" s="2">
        <v>1.7532700000000001</v>
      </c>
      <c r="G14" s="2">
        <v>1.982</v>
      </c>
      <c r="H14" s="2">
        <v>0</v>
      </c>
      <c r="I14" s="2">
        <v>1.7000000000000001E-2</v>
      </c>
      <c r="J14" s="2">
        <v>5.6529999999999997E-2</v>
      </c>
      <c r="K14" s="2">
        <v>1.2999999999999999E-2</v>
      </c>
      <c r="L14" s="2">
        <v>3.29</v>
      </c>
    </row>
    <row r="15" spans="1:12" x14ac:dyDescent="0.3">
      <c r="A15" s="18">
        <v>14</v>
      </c>
      <c r="B15" t="s">
        <v>43</v>
      </c>
      <c r="C15" s="5" t="s">
        <v>76</v>
      </c>
      <c r="D15" s="6">
        <v>640</v>
      </c>
      <c r="E15" s="2">
        <v>64.05</v>
      </c>
      <c r="F15" s="2">
        <v>2.6564100000000002</v>
      </c>
      <c r="G15" s="2">
        <v>1.3340000000000001</v>
      </c>
      <c r="H15" s="2">
        <v>0</v>
      </c>
      <c r="I15" s="2">
        <v>2.4E-2</v>
      </c>
      <c r="J15" s="2">
        <v>5.534E-2</v>
      </c>
      <c r="K15" s="2">
        <v>1.4999999999999999E-2</v>
      </c>
      <c r="L15" s="2">
        <v>3.93</v>
      </c>
    </row>
    <row r="16" spans="1:12" x14ac:dyDescent="0.3">
      <c r="A16" s="18">
        <v>15</v>
      </c>
      <c r="B16" t="s">
        <v>44</v>
      </c>
      <c r="C16" s="5" t="s">
        <v>76</v>
      </c>
      <c r="D16" s="6">
        <v>600</v>
      </c>
      <c r="E16" s="2">
        <v>63.62</v>
      </c>
      <c r="F16" s="2">
        <v>2.53043</v>
      </c>
      <c r="G16" s="2">
        <v>2.3119999999999998</v>
      </c>
      <c r="H16" s="2">
        <v>0</v>
      </c>
      <c r="I16" s="2">
        <v>2.3E-2</v>
      </c>
      <c r="J16" s="2">
        <v>5.3319999999999999E-2</v>
      </c>
      <c r="K16" s="2">
        <v>1.9E-2</v>
      </c>
      <c r="L16" s="2">
        <v>3.77</v>
      </c>
    </row>
    <row r="17" spans="1:12" x14ac:dyDescent="0.3">
      <c r="A17" s="18">
        <v>16</v>
      </c>
      <c r="B17" t="s">
        <v>47</v>
      </c>
      <c r="C17" s="5" t="s">
        <v>76</v>
      </c>
      <c r="D17" s="6">
        <v>600</v>
      </c>
      <c r="E17" s="2">
        <v>64.86</v>
      </c>
      <c r="F17" s="2">
        <v>1.7000500000000001</v>
      </c>
      <c r="G17" s="2">
        <v>1.1220000000000001</v>
      </c>
      <c r="H17" s="2">
        <v>0</v>
      </c>
      <c r="I17" s="2">
        <v>2.1999999999999999E-2</v>
      </c>
      <c r="J17" s="2">
        <v>5.1810000000000002E-2</v>
      </c>
      <c r="K17" s="2">
        <v>4.5999999999999999E-2</v>
      </c>
      <c r="L17" s="2">
        <v>3.7</v>
      </c>
    </row>
    <row r="18" spans="1:12" x14ac:dyDescent="0.3">
      <c r="A18" s="18">
        <v>17</v>
      </c>
      <c r="B18" t="s">
        <v>52</v>
      </c>
      <c r="C18" s="5" t="s">
        <v>76</v>
      </c>
      <c r="D18" s="6">
        <v>600</v>
      </c>
      <c r="E18" s="2">
        <v>64.02</v>
      </c>
      <c r="F18" s="2">
        <v>1.7802800000000001</v>
      </c>
      <c r="G18" s="2">
        <v>1.282</v>
      </c>
      <c r="H18" s="2">
        <v>0.72299999999999998</v>
      </c>
      <c r="I18" s="2">
        <v>4.2000000000000003E-2</v>
      </c>
      <c r="J18" s="2">
        <v>4.5839999999999999E-2</v>
      </c>
      <c r="K18" s="2">
        <v>0.318</v>
      </c>
      <c r="L18" s="2">
        <v>3.54</v>
      </c>
    </row>
    <row r="19" spans="1:12" x14ac:dyDescent="0.3">
      <c r="A19" s="18">
        <v>18</v>
      </c>
      <c r="B19" t="s">
        <v>55</v>
      </c>
      <c r="C19" s="5" t="s">
        <v>76</v>
      </c>
      <c r="D19" s="6">
        <v>600</v>
      </c>
      <c r="E19" s="2">
        <v>63.92</v>
      </c>
      <c r="F19" s="2">
        <v>2.6552600000000002</v>
      </c>
      <c r="G19" s="2">
        <v>2.202</v>
      </c>
      <c r="H19" s="2">
        <v>0</v>
      </c>
      <c r="I19" s="2">
        <v>2.5999999999999999E-2</v>
      </c>
      <c r="J19" s="2">
        <v>4.6780000000000002E-2</v>
      </c>
      <c r="K19" s="2">
        <v>5.3999999999999999E-2</v>
      </c>
      <c r="L19" s="2">
        <v>3.5</v>
      </c>
    </row>
    <row r="20" spans="1:12" x14ac:dyDescent="0.3">
      <c r="A20" s="18">
        <v>19</v>
      </c>
      <c r="B20" t="s">
        <v>59</v>
      </c>
      <c r="C20" s="5" t="s">
        <v>76</v>
      </c>
      <c r="D20" s="6">
        <v>700</v>
      </c>
      <c r="E20" s="2">
        <v>63.44</v>
      </c>
      <c r="F20" s="2">
        <v>3.2344200000000001</v>
      </c>
      <c r="G20" s="2">
        <v>1.8540000000000001</v>
      </c>
      <c r="H20" s="2">
        <v>0</v>
      </c>
      <c r="I20" s="2">
        <v>0.03</v>
      </c>
      <c r="J20" s="2">
        <v>5.6739999999999999E-2</v>
      </c>
      <c r="K20" s="2">
        <v>1.4999999999999999E-2</v>
      </c>
      <c r="L20" s="2">
        <v>3.78</v>
      </c>
    </row>
    <row r="21" spans="1:12" x14ac:dyDescent="0.3">
      <c r="A21" s="18">
        <v>20</v>
      </c>
      <c r="B21" t="s">
        <v>62</v>
      </c>
      <c r="C21" s="5" t="s">
        <v>76</v>
      </c>
      <c r="D21" s="6">
        <v>600</v>
      </c>
      <c r="E21" s="2">
        <v>65.23</v>
      </c>
      <c r="F21" s="2">
        <v>1.9554199999999999</v>
      </c>
      <c r="G21" s="2">
        <v>1.2529999999999999</v>
      </c>
      <c r="H21" s="2">
        <v>0</v>
      </c>
      <c r="I21" s="2">
        <v>2.1000000000000001E-2</v>
      </c>
      <c r="J21" s="2">
        <v>4.5420000000000002E-2</v>
      </c>
      <c r="K21" s="2">
        <v>4.8000000000000001E-2</v>
      </c>
      <c r="L21" s="2">
        <v>3.24</v>
      </c>
    </row>
    <row r="22" spans="1:12" x14ac:dyDescent="0.3">
      <c r="A22" s="18">
        <v>21</v>
      </c>
      <c r="B22" t="s">
        <v>65</v>
      </c>
      <c r="C22" s="5" t="s">
        <v>76</v>
      </c>
      <c r="D22" s="6">
        <v>500</v>
      </c>
      <c r="E22" s="2">
        <v>64.92</v>
      </c>
      <c r="F22" s="2">
        <v>1.8516699999999999</v>
      </c>
      <c r="G22" s="2">
        <v>1.6659999999999999</v>
      </c>
      <c r="H22" s="2">
        <v>0</v>
      </c>
      <c r="I22" s="2">
        <v>1.9E-2</v>
      </c>
      <c r="J22" s="2">
        <v>4.7160000000000001E-2</v>
      </c>
      <c r="K22" s="2">
        <v>1.4999999999999999E-2</v>
      </c>
      <c r="L22" s="2">
        <v>3.44</v>
      </c>
    </row>
    <row r="23" spans="1:12" x14ac:dyDescent="0.3">
      <c r="A23" s="18">
        <v>22</v>
      </c>
      <c r="B23" t="s">
        <v>68</v>
      </c>
      <c r="C23" s="5" t="s">
        <v>76</v>
      </c>
      <c r="D23" s="6">
        <v>600</v>
      </c>
      <c r="E23" s="2">
        <v>64.81</v>
      </c>
      <c r="F23" s="2">
        <v>2.3145099999999998</v>
      </c>
      <c r="G23" s="2">
        <v>1.782</v>
      </c>
      <c r="H23" s="2">
        <v>0</v>
      </c>
      <c r="I23" s="2">
        <v>1.7999999999999999E-2</v>
      </c>
      <c r="J23" s="2">
        <v>4.3249999999999997E-2</v>
      </c>
      <c r="K23" s="2">
        <v>1.4E-2</v>
      </c>
      <c r="L23" s="2">
        <v>3.03</v>
      </c>
    </row>
    <row r="24" spans="1:12" x14ac:dyDescent="0.3">
      <c r="D24" s="2">
        <f>SUM(D6:D23)</f>
        <v>12400</v>
      </c>
      <c r="E24" s="2">
        <f>SUMPRODUCT($D$6:$D$23,E6:E23)/$D$24</f>
        <v>64.112806451612911</v>
      </c>
      <c r="F24" s="2">
        <f t="shared" ref="F24:L24" si="0">SUMPRODUCT($D$6:$D$23,F6:F23)/$D$24</f>
        <v>2.2569059999999999</v>
      </c>
      <c r="G24" s="2">
        <f t="shared" si="0"/>
        <v>1.9130919354838714</v>
      </c>
      <c r="H24" s="2">
        <f t="shared" si="0"/>
        <v>4.5306451612903219E-2</v>
      </c>
      <c r="I24" s="2">
        <f t="shared" si="0"/>
        <v>2.1309677419354838E-2</v>
      </c>
      <c r="J24" s="2">
        <f t="shared" si="0"/>
        <v>5.4595241935483874E-2</v>
      </c>
      <c r="K24" s="2">
        <f t="shared" si="0"/>
        <v>3.3283870967741935E-2</v>
      </c>
      <c r="L24" s="2">
        <f t="shared" si="0"/>
        <v>3.7124032258064519</v>
      </c>
    </row>
  </sheetData>
  <mergeCells count="6">
    <mergeCell ref="E4:L4"/>
    <mergeCell ref="A1:L1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Sample Analysis</vt:lpstr>
      <vt:lpstr>Retest</vt:lpstr>
      <vt:lpstr>Replicate</vt:lpstr>
      <vt:lpstr>Retain</vt:lpstr>
      <vt:lpstr>Blending Fines</vt:lpstr>
      <vt:lpstr>Blending CLO</vt:lpstr>
      <vt:lpstr>Sheet4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Omkar Narayan</cp:lastModifiedBy>
  <dcterms:created xsi:type="dcterms:W3CDTF">2025-05-24T15:41:53Z</dcterms:created>
  <dcterms:modified xsi:type="dcterms:W3CDTF">2025-09-17T20:22:39Z</dcterms:modified>
</cp:coreProperties>
</file>