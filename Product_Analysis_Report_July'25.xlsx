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S_WILP\4th SEM\Project\Base Data\"/>
    </mc:Choice>
  </mc:AlternateContent>
  <xr:revisionPtr revIDLastSave="0" documentId="13_ncr:1_{00C4077E-E31E-4AB3-8224-5165B5224B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on Sample Analysis" sheetId="1" r:id="rId1"/>
    <sheet name="Fines 60-62" sheetId="2" state="hidden" r:id="rId2"/>
    <sheet name="Fines 60-62 (Blend)" sheetId="5" state="hidden" r:id="rId3"/>
    <sheet name="Fines 62-65" sheetId="3" state="hidden" r:id="rId4"/>
    <sheet name="Fines 62-65 (Blend)" sheetId="6" state="hidden" r:id="rId5"/>
    <sheet name="CLO" sheetId="4" state="hidden" r:id="rId6"/>
    <sheet name="CLO (Blend)" sheetId="7" state="hidden" r:id="rId7"/>
    <sheet name="Answer Report 1" sheetId="10" state="hidden" r:id="rId8"/>
    <sheet name="Sensitivity Report 1" sheetId="11" state="hidden" r:id="rId9"/>
    <sheet name="Limits Report 1" sheetId="12" state="hidden" r:id="rId10"/>
    <sheet name="Sheet1" sheetId="8" state="hidden" r:id="rId11"/>
  </sheets>
  <definedNames>
    <definedName name="_xlnm._FilterDatabase" localSheetId="5" hidden="1">CLO!$A$3:$AD$23</definedName>
    <definedName name="_xlnm._FilterDatabase" localSheetId="1" hidden="1">'Fines 60-62'!$A$3:$AD$20</definedName>
    <definedName name="_xlnm._FilterDatabase" localSheetId="2" hidden="1">'Fines 60-62 (Blend)'!$A$3:$Q$21</definedName>
    <definedName name="_xlnm._FilterDatabase" localSheetId="0" hidden="1">'Production Sample Analysis'!$A$6:$R$45</definedName>
    <definedName name="solver_adj" localSheetId="10" hidden="1">Sheet1!$Q$5:$Q$20,Sheet1!$T$5:$T$20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lhs1" localSheetId="10" hidden="1">Sheet1!$R$21</definedName>
    <definedName name="solver_lhs2" localSheetId="10" hidden="1">Sheet1!$R$21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1</definedName>
    <definedName name="solver_nwt" localSheetId="10" hidden="1">1</definedName>
    <definedName name="solver_opt" localSheetId="10" hidden="1">Sheet1!$R$21</definedName>
    <definedName name="solver_pre" localSheetId="10" hidden="1">0.000001</definedName>
    <definedName name="solver_rbv" localSheetId="10" hidden="1">1</definedName>
    <definedName name="solver_rel1" localSheetId="10" hidden="1">1</definedName>
    <definedName name="solver_rel2" localSheetId="10" hidden="1">1</definedName>
    <definedName name="solver_rhs1" localSheetId="10" hidden="1">62</definedName>
    <definedName name="solver_rhs2" localSheetId="10" hidden="1">62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9" hidden="1">2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3</definedName>
    <definedName name="solver_val" localSheetId="10" hidden="1">61.5</definedName>
    <definedName name="solver_ver" localSheetId="1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" i="8" l="1"/>
  <c r="V26" i="4"/>
  <c r="V25" i="4"/>
  <c r="U24" i="2"/>
  <c r="U23" i="2"/>
  <c r="T4" i="5"/>
  <c r="T4" i="6"/>
  <c r="T4" i="7"/>
  <c r="S4" i="5"/>
  <c r="S4" i="6"/>
  <c r="S4" i="7"/>
  <c r="U4" i="5"/>
  <c r="V4" i="5"/>
  <c r="V4" i="7"/>
  <c r="W4" i="5"/>
  <c r="X4" i="5"/>
  <c r="Y4" i="5"/>
  <c r="Z4" i="5"/>
  <c r="AA4" i="5"/>
  <c r="AB4" i="5"/>
  <c r="W4" i="7"/>
  <c r="X4" i="7"/>
  <c r="Y4" i="7"/>
  <c r="Z4" i="7"/>
  <c r="AA4" i="7"/>
  <c r="AB4" i="7"/>
  <c r="R4" i="7"/>
  <c r="U4" i="7" s="1"/>
  <c r="G23" i="7"/>
  <c r="N23" i="7" s="1"/>
  <c r="H8" i="6"/>
  <c r="F21" i="5"/>
  <c r="P21" i="5" s="1"/>
  <c r="S21" i="2"/>
  <c r="T21" i="2"/>
  <c r="V21" i="2"/>
  <c r="W21" i="2"/>
  <c r="X21" i="2"/>
  <c r="Y21" i="2"/>
  <c r="Z21" i="2"/>
  <c r="AA21" i="2"/>
  <c r="AB21" i="2"/>
  <c r="U21" i="2"/>
  <c r="Q21" i="2"/>
  <c r="S10" i="3"/>
  <c r="T10" i="3"/>
  <c r="V10" i="3"/>
  <c r="W10" i="3"/>
  <c r="X10" i="3"/>
  <c r="Y10" i="3"/>
  <c r="Z10" i="3"/>
  <c r="AA10" i="3"/>
  <c r="AB10" i="3"/>
  <c r="U10" i="3"/>
  <c r="Q10" i="3"/>
  <c r="Q23" i="4"/>
  <c r="Z23" i="4" s="1"/>
  <c r="R21" i="8" l="1"/>
  <c r="W23" i="4"/>
  <c r="V23" i="4"/>
  <c r="Y23" i="4"/>
  <c r="T23" i="4"/>
  <c r="X23" i="4"/>
  <c r="S23" i="4"/>
  <c r="AB23" i="4"/>
  <c r="AA23" i="4"/>
  <c r="U23" i="4"/>
  <c r="O23" i="7"/>
  <c r="P23" i="7"/>
  <c r="Q23" i="7"/>
  <c r="H23" i="7"/>
  <c r="I23" i="7"/>
  <c r="J23" i="7"/>
  <c r="K23" i="7"/>
  <c r="L23" i="7"/>
  <c r="M23" i="7"/>
  <c r="M8" i="6"/>
  <c r="N8" i="6"/>
  <c r="O8" i="6"/>
  <c r="P8" i="6"/>
  <c r="Q8" i="6"/>
  <c r="R8" i="6"/>
  <c r="R23" i="6" s="1"/>
  <c r="I8" i="6"/>
  <c r="I23" i="6" s="1"/>
  <c r="J8" i="6"/>
  <c r="K8" i="6"/>
  <c r="V4" i="6" s="1"/>
  <c r="L8" i="6"/>
  <c r="Q21" i="5"/>
  <c r="H21" i="5"/>
  <c r="I21" i="5"/>
  <c r="J21" i="5"/>
  <c r="K21" i="5"/>
  <c r="L21" i="5"/>
  <c r="M21" i="5"/>
  <c r="N21" i="5"/>
  <c r="O21" i="5"/>
  <c r="V25" i="3"/>
  <c r="N23" i="6" l="1"/>
  <c r="Y4" i="6"/>
  <c r="M23" i="6"/>
  <c r="X4" i="6"/>
  <c r="L23" i="6"/>
  <c r="W4" i="6"/>
  <c r="O23" i="6"/>
  <c r="Z4" i="6"/>
  <c r="J23" i="6"/>
  <c r="U4" i="6"/>
  <c r="Q23" i="6"/>
  <c r="AB4" i="6"/>
  <c r="P23" i="6"/>
  <c r="AA4" i="6"/>
  <c r="AB25" i="3"/>
  <c r="S25" i="3"/>
  <c r="W25" i="3"/>
  <c r="X25" i="3"/>
  <c r="Y25" i="3"/>
  <c r="Z25" i="3"/>
  <c r="T25" i="3"/>
  <c r="AA25" i="3"/>
</calcChain>
</file>

<file path=xl/sharedStrings.xml><?xml version="1.0" encoding="utf-8"?>
<sst xmlns="http://schemas.openxmlformats.org/spreadsheetml/2006/main" count="1651" uniqueCount="523">
  <si>
    <t>Inspection and Analysis Report</t>
  </si>
  <si>
    <t>Sr. no.</t>
  </si>
  <si>
    <t>Sample ID</t>
  </si>
  <si>
    <t xml:space="preserve">              Lab Sample ID                </t>
  </si>
  <si>
    <t xml:space="preserve">              Pouch Code                </t>
  </si>
  <si>
    <t>Analysis
Received Date</t>
  </si>
  <si>
    <t>Production On</t>
  </si>
  <si>
    <t>Field-Shift</t>
  </si>
  <si>
    <t>Name Of Scr Plant</t>
  </si>
  <si>
    <t>Product Size</t>
  </si>
  <si>
    <t>Representative
Lot Qty</t>
  </si>
  <si>
    <t>Total
Product Qty</t>
  </si>
  <si>
    <t>Size Analysis</t>
  </si>
  <si>
    <t>'O' Size</t>
  </si>
  <si>
    <t>'U' Size</t>
  </si>
  <si>
    <t>Results</t>
  </si>
  <si>
    <t>Fe</t>
  </si>
  <si>
    <t>SiO2</t>
  </si>
  <si>
    <t>Al2O3</t>
  </si>
  <si>
    <t>Na2O</t>
  </si>
  <si>
    <t>K2O</t>
  </si>
  <si>
    <t>P</t>
  </si>
  <si>
    <t>MnO</t>
  </si>
  <si>
    <t>LOI</t>
  </si>
  <si>
    <t>Field Comments</t>
  </si>
  <si>
    <t>SPU Comments</t>
  </si>
  <si>
    <t/>
  </si>
  <si>
    <t>300720250121083049</t>
  </si>
  <si>
    <t>P0000000106627</t>
  </si>
  <si>
    <t>30-07-2025</t>
  </si>
  <si>
    <t>A</t>
  </si>
  <si>
    <t xml:space="preserve">Propel plant </t>
  </si>
  <si>
    <t>10 - 40 mm</t>
  </si>
  <si>
    <t xml:space="preserve">Dt 29.7.25 </t>
  </si>
  <si>
    <t>300720250121083048</t>
  </si>
  <si>
    <t>P0000000106626</t>
  </si>
  <si>
    <t>Fines</t>
  </si>
  <si>
    <t>300720250121083047</t>
  </si>
  <si>
    <t>P0000000106625</t>
  </si>
  <si>
    <t xml:space="preserve">EXTEC PLANT </t>
  </si>
  <si>
    <t>290720251300000046</t>
  </si>
  <si>
    <t>290720250121083093</t>
  </si>
  <si>
    <t>P0000000104914</t>
  </si>
  <si>
    <t>29-07-2025</t>
  </si>
  <si>
    <t>290720251300000045</t>
  </si>
  <si>
    <t>290720250121083092</t>
  </si>
  <si>
    <t>P0000000104913</t>
  </si>
  <si>
    <t>Fines (62-65%)</t>
  </si>
  <si>
    <t>280720251300000040</t>
  </si>
  <si>
    <t>280720250121083043</t>
  </si>
  <si>
    <t>P0000000104910</t>
  </si>
  <si>
    <t>28-07-2025</t>
  </si>
  <si>
    <t>280720251300000038</t>
  </si>
  <si>
    <t>280720250121083042</t>
  </si>
  <si>
    <t>P0000000104909</t>
  </si>
  <si>
    <t>250720251300000007</t>
  </si>
  <si>
    <t>250720250121083084</t>
  </si>
  <si>
    <t>P0000000106620</t>
  </si>
  <si>
    <t>25-07-2025</t>
  </si>
  <si>
    <t xml:space="preserve">Propel Plant </t>
  </si>
  <si>
    <t>Ds 24.7.25</t>
  </si>
  <si>
    <t>250720251300000006</t>
  </si>
  <si>
    <t>250720250121083083</t>
  </si>
  <si>
    <t>P0000000106619</t>
  </si>
  <si>
    <t>240720251300000005</t>
  </si>
  <si>
    <t>240720250121083105</t>
  </si>
  <si>
    <t>P0000000106616</t>
  </si>
  <si>
    <t>24-07-2025</t>
  </si>
  <si>
    <t>Propel plant</t>
  </si>
  <si>
    <t>Ds 23.7.25</t>
  </si>
  <si>
    <t>240720251300000004</t>
  </si>
  <si>
    <t>240720250121083104</t>
  </si>
  <si>
    <t>P0000000106615</t>
  </si>
  <si>
    <t xml:space="preserve">Extec Plant </t>
  </si>
  <si>
    <t>230720251300000036</t>
  </si>
  <si>
    <t>230720250121083047</t>
  </si>
  <si>
    <t>P0000000106647</t>
  </si>
  <si>
    <t>23-07-2025</t>
  </si>
  <si>
    <t>Ds 22.7.25</t>
  </si>
  <si>
    <t>230720251300000035</t>
  </si>
  <si>
    <t>230720250121083046</t>
  </si>
  <si>
    <t>P0000000106646</t>
  </si>
  <si>
    <t>220720251300000074</t>
  </si>
  <si>
    <t>220720250121083094</t>
  </si>
  <si>
    <t>P0000000106639</t>
  </si>
  <si>
    <t>22-07-2025</t>
  </si>
  <si>
    <t>D/s : 21.07.25</t>
  </si>
  <si>
    <t>220720251300000073</t>
  </si>
  <si>
    <t>220720250121083093</t>
  </si>
  <si>
    <t>P0000000106638</t>
  </si>
  <si>
    <t>200720251300000016</t>
  </si>
  <si>
    <t>200720250121083002</t>
  </si>
  <si>
    <t>P0000000104888</t>
  </si>
  <si>
    <t>20-07-2025</t>
  </si>
  <si>
    <t>Ds 19.7.25</t>
  </si>
  <si>
    <t>200720251300000015</t>
  </si>
  <si>
    <t>200720250121083001</t>
  </si>
  <si>
    <t>P0000000104887</t>
  </si>
  <si>
    <t>190720251300000102</t>
  </si>
  <si>
    <t>190720250121083054</t>
  </si>
  <si>
    <t>P0000000106649</t>
  </si>
  <si>
    <t>19-07-2025</t>
  </si>
  <si>
    <t>Dt 18.7.25</t>
  </si>
  <si>
    <t>190720251300000101</t>
  </si>
  <si>
    <t>190720250121083053</t>
  </si>
  <si>
    <t>P0000000106648</t>
  </si>
  <si>
    <t>180720251300000083</t>
  </si>
  <si>
    <t>180720250121083061</t>
  </si>
  <si>
    <t>P0000000104883</t>
  </si>
  <si>
    <t>18-07-2025</t>
  </si>
  <si>
    <t>Ds 17.7.25</t>
  </si>
  <si>
    <t>180720251300000081</t>
  </si>
  <si>
    <t>180720250121083060</t>
  </si>
  <si>
    <t>P0000000104882</t>
  </si>
  <si>
    <t>170720251300000040</t>
  </si>
  <si>
    <t>170720250121083057</t>
  </si>
  <si>
    <t>P0000000104881</t>
  </si>
  <si>
    <t>17-07-2025</t>
  </si>
  <si>
    <t>Ds 16.7.25</t>
  </si>
  <si>
    <t>170720251300000036</t>
  </si>
  <si>
    <t>170720250121083056</t>
  </si>
  <si>
    <t>P0000000104880</t>
  </si>
  <si>
    <t>130720251300000009</t>
  </si>
  <si>
    <t>130720250121083014</t>
  </si>
  <si>
    <t>P0000000104879</t>
  </si>
  <si>
    <t>13-07-2025</t>
  </si>
  <si>
    <t>Ds 12.7.25</t>
  </si>
  <si>
    <t>130720251300000008</t>
  </si>
  <si>
    <t>130720250121083013</t>
  </si>
  <si>
    <t>P0000000104878</t>
  </si>
  <si>
    <t>110720251300000005</t>
  </si>
  <si>
    <t>110720250121083043</t>
  </si>
  <si>
    <t>P0000000104873</t>
  </si>
  <si>
    <t>11-07-2025</t>
  </si>
  <si>
    <t>Ds 10.7.25</t>
  </si>
  <si>
    <t>110720251300000004</t>
  </si>
  <si>
    <t>110720250121083042</t>
  </si>
  <si>
    <t>P0000000104872</t>
  </si>
  <si>
    <t>060720251300000005</t>
  </si>
  <si>
    <t>060720250101083007</t>
  </si>
  <si>
    <t>P0000000101020</t>
  </si>
  <si>
    <t>06-07-2025</t>
  </si>
  <si>
    <t>Ds 5/7/25</t>
  </si>
  <si>
    <t>060720251300000004</t>
  </si>
  <si>
    <t>060720250101083006</t>
  </si>
  <si>
    <t>P0000000101019</t>
  </si>
  <si>
    <t>050720251300000026</t>
  </si>
  <si>
    <t>050720250121083078</t>
  </si>
  <si>
    <t>P0000000101018</t>
  </si>
  <si>
    <t>05-07-2025</t>
  </si>
  <si>
    <t>Dt 4.7..25</t>
  </si>
  <si>
    <t>050720251300000024</t>
  </si>
  <si>
    <t>050720250121083077</t>
  </si>
  <si>
    <t>P0000000101017</t>
  </si>
  <si>
    <t>Screen Fines</t>
  </si>
  <si>
    <t>Dt 04.7..25</t>
  </si>
  <si>
    <t>040720251300000031</t>
  </si>
  <si>
    <t>040720250121083051</t>
  </si>
  <si>
    <t>P0000000101016</t>
  </si>
  <si>
    <t>04-07-2025</t>
  </si>
  <si>
    <t>Propel Plant</t>
  </si>
  <si>
    <t>Ds 3.7.25</t>
  </si>
  <si>
    <t>040720251300000032</t>
  </si>
  <si>
    <t>040720250121083050</t>
  </si>
  <si>
    <t>P0000000101015</t>
  </si>
  <si>
    <t>020720251300000020</t>
  </si>
  <si>
    <t>020720250121083086</t>
  </si>
  <si>
    <t>P0000000101010</t>
  </si>
  <si>
    <t>02-07-2025</t>
  </si>
  <si>
    <t xml:space="preserve">Horrizon </t>
  </si>
  <si>
    <t>Ds 30.6.25</t>
  </si>
  <si>
    <t>020720251300000021</t>
  </si>
  <si>
    <t>020720250121083085</t>
  </si>
  <si>
    <t>P0000000101009</t>
  </si>
  <si>
    <t>6:41:7</t>
  </si>
  <si>
    <t>30-07-2025 13:32:37</t>
  </si>
  <si>
    <t>30-07-2025 09:07:25</t>
  </si>
  <si>
    <t>0:0:14</t>
  </si>
  <si>
    <t>30-07-2025 09:08:28</t>
  </si>
  <si>
    <t>3:34:30</t>
  </si>
  <si>
    <t>6:41:19</t>
  </si>
  <si>
    <t>30-07-2025 13:32:19</t>
  </si>
  <si>
    <t>30-07-2025 09:04:57</t>
  </si>
  <si>
    <t>0:2:48</t>
  </si>
  <si>
    <t>30-07-2025 09:08:25</t>
  </si>
  <si>
    <t>3:35:52</t>
  </si>
  <si>
    <t>6:41:33</t>
  </si>
  <si>
    <t>30-07-2025 13:31:58</t>
  </si>
  <si>
    <t>30-07-2025 09:01:18</t>
  </si>
  <si>
    <t>0:6:30</t>
  </si>
  <si>
    <t>30-07-2025 09:08:22</t>
  </si>
  <si>
    <t>3:36:5</t>
  </si>
  <si>
    <t>6:43:21</t>
  </si>
  <si>
    <t>29-07-2025 16:00:10</t>
  </si>
  <si>
    <t>29-07-2025 11:45:05</t>
  </si>
  <si>
    <t>0:0:11</t>
  </si>
  <si>
    <t>29-07-2025 12:55:35</t>
  </si>
  <si>
    <t>2:29:35</t>
  </si>
  <si>
    <t>6:43:41</t>
  </si>
  <si>
    <t>29-07-2025 15:59:50</t>
  </si>
  <si>
    <t>29-07-2025 11:44:27</t>
  </si>
  <si>
    <t>0:0:51</t>
  </si>
  <si>
    <t>29-07-2025 12:55:33</t>
  </si>
  <si>
    <t>2:29:39</t>
  </si>
  <si>
    <t>5:30:26</t>
  </si>
  <si>
    <t>28-07-2025 12:21:34</t>
  </si>
  <si>
    <t>28-07-2025 10:07:22</t>
  </si>
  <si>
    <t>0:0:16</t>
  </si>
  <si>
    <t>28-07-2025 10:08:10</t>
  </si>
  <si>
    <t>1:34:22</t>
  </si>
  <si>
    <t>5:30:44</t>
  </si>
  <si>
    <t>28-07-2025 12:21:16</t>
  </si>
  <si>
    <t>28-07-2025 10:06:42</t>
  </si>
  <si>
    <t>0:0:57</t>
  </si>
  <si>
    <t>28-07-2025 10:08:09</t>
  </si>
  <si>
    <t>1:34:25</t>
  </si>
  <si>
    <t>18:2:3</t>
  </si>
  <si>
    <t>25-07-2025 12:18:58</t>
  </si>
  <si>
    <t>25-07-2025 08:28:09</t>
  </si>
  <si>
    <t>3:16:26</t>
  </si>
  <si>
    <t>25-07-2025 11:47:14</t>
  </si>
  <si>
    <t>0:7:35</t>
  </si>
  <si>
    <t>18:2:17</t>
  </si>
  <si>
    <t>25-07-2025 12:18:44</t>
  </si>
  <si>
    <t>25-07-2025 08:27:06</t>
  </si>
  <si>
    <t>3:16:8</t>
  </si>
  <si>
    <t>25-07-2025 11:45:09</t>
  </si>
  <si>
    <t>0:9:42</t>
  </si>
  <si>
    <t>17:57:33</t>
  </si>
  <si>
    <t>24-07-2025 14:30:46</t>
  </si>
  <si>
    <t>24-07-2025 08:28:59</t>
  </si>
  <si>
    <t>3:49:35</t>
  </si>
  <si>
    <t>24-07-2025 12:22:07</t>
  </si>
  <si>
    <t>1:11:54</t>
  </si>
  <si>
    <t>8:52:14</t>
  </si>
  <si>
    <t>24-07-2025 14:30:24</t>
  </si>
  <si>
    <t>24-07-2025 08:25:31</t>
  </si>
  <si>
    <t>3:52:45</t>
  </si>
  <si>
    <t>24-07-2025 12:20:39</t>
  </si>
  <si>
    <t>1:13:20</t>
  </si>
  <si>
    <t>22:45:39</t>
  </si>
  <si>
    <t>23-07-2025 11:48:08</t>
  </si>
  <si>
    <t>23-07-2025 09:26:04</t>
  </si>
  <si>
    <t>1:2:37</t>
  </si>
  <si>
    <t>23-07-2025 10:37:16</t>
  </si>
  <si>
    <t>1:2:20</t>
  </si>
  <si>
    <t>22:46:9</t>
  </si>
  <si>
    <t>23-07-2025 11:47:38</t>
  </si>
  <si>
    <t>23-07-2025 09:24:08</t>
  </si>
  <si>
    <t>1:4:10</t>
  </si>
  <si>
    <t>23-07-2025 10:34:32</t>
  </si>
  <si>
    <t>1:5:7</t>
  </si>
  <si>
    <t>5:18:2</t>
  </si>
  <si>
    <t>22-07-2025 11:29:23</t>
  </si>
  <si>
    <t>22-07-2025 10:20:03</t>
  </si>
  <si>
    <t>0:0:13</t>
  </si>
  <si>
    <t>22-07-2025 10:20:47</t>
  </si>
  <si>
    <t>0:54:23</t>
  </si>
  <si>
    <t>5:18:12</t>
  </si>
  <si>
    <t>22-07-2025 11:29:06</t>
  </si>
  <si>
    <t>22-07-2025 10:19:09</t>
  </si>
  <si>
    <t>0:0:7</t>
  </si>
  <si>
    <t>22-07-2025 10:21:15</t>
  </si>
  <si>
    <t>0:53:42</t>
  </si>
  <si>
    <t>9:17:13</t>
  </si>
  <si>
    <t>20-07-2025 11:57:57</t>
  </si>
  <si>
    <t>20-07-2025 09:33:59</t>
  </si>
  <si>
    <t>1:23:35</t>
  </si>
  <si>
    <t>20-07-2025 11:01:02</t>
  </si>
  <si>
    <t>0:46:0</t>
  </si>
  <si>
    <t>9:17:30</t>
  </si>
  <si>
    <t>20-07-2025 11:57:40</t>
  </si>
  <si>
    <t>20-07-2025 09:32:57</t>
  </si>
  <si>
    <t>1:24:17</t>
  </si>
  <si>
    <t>20-07-2025 11:01:09</t>
  </si>
  <si>
    <t>0:45:39</t>
  </si>
  <si>
    <t>6:54:49</t>
  </si>
  <si>
    <t>19-07-2025 14:47:02</t>
  </si>
  <si>
    <t>19-07-2025 11:48:39</t>
  </si>
  <si>
    <t>0:6:14</t>
  </si>
  <si>
    <t>19-07-2025 11:56:33</t>
  </si>
  <si>
    <t>0:34:34</t>
  </si>
  <si>
    <t>6:54:55</t>
  </si>
  <si>
    <t>19-07-2025 14:46:42</t>
  </si>
  <si>
    <t>19-07-2025 11:47:16</t>
  </si>
  <si>
    <t>0:7:39</t>
  </si>
  <si>
    <t>19-07-2025 11:56:30</t>
  </si>
  <si>
    <t>0:34:30</t>
  </si>
  <si>
    <t>7:54:56</t>
  </si>
  <si>
    <t>18-07-2025 13:35:49</t>
  </si>
  <si>
    <t>18-07-2025 10:30:19</t>
  </si>
  <si>
    <t>0:0:31</t>
  </si>
  <si>
    <t>18-07-2025 12:38:17</t>
  </si>
  <si>
    <t>0:15:52</t>
  </si>
  <si>
    <t>7:55:13</t>
  </si>
  <si>
    <t>18-07-2025 13:35:16</t>
  </si>
  <si>
    <t>18-07-2025 10:28:57</t>
  </si>
  <si>
    <t>0:1:55</t>
  </si>
  <si>
    <t>18-07-2025 12:35:43</t>
  </si>
  <si>
    <t>0:18:27</t>
  </si>
  <si>
    <t>5:28:55</t>
  </si>
  <si>
    <t>17-07-2025 11:28:49</t>
  </si>
  <si>
    <t>17-07-2025 10:24:41</t>
  </si>
  <si>
    <t>0:0:28</t>
  </si>
  <si>
    <t>17-07-2025 10:28:13</t>
  </si>
  <si>
    <t>0:49:32</t>
  </si>
  <si>
    <t>5:29:1</t>
  </si>
  <si>
    <t>17-07-2025 11:28:28</t>
  </si>
  <si>
    <t>17-07-2025 10:21:14</t>
  </si>
  <si>
    <t>0:2:40</t>
  </si>
  <si>
    <t>17-07-2025 10:26:25</t>
  </si>
  <si>
    <t>0:51:23</t>
  </si>
  <si>
    <t>7:55:56</t>
  </si>
  <si>
    <t>13-07-2025 11:49:21</t>
  </si>
  <si>
    <t>13-07-2025 09:08:04</t>
  </si>
  <si>
    <t>0:5:40</t>
  </si>
  <si>
    <t>13-07-2025 11:20:48</t>
  </si>
  <si>
    <t>0:18:15</t>
  </si>
  <si>
    <t>7:56:7</t>
  </si>
  <si>
    <t>13-07-2025 11:49:03</t>
  </si>
  <si>
    <t>13-07-2025 09:06:52</t>
  </si>
  <si>
    <t>0:6:55</t>
  </si>
  <si>
    <t>13-07-2025 11:17:26</t>
  </si>
  <si>
    <t>0:21:39</t>
  </si>
  <si>
    <t>5:46:34</t>
  </si>
  <si>
    <t>11-07-2025 14:27:16</t>
  </si>
  <si>
    <t>11-07-2025 09:09:09</t>
  </si>
  <si>
    <t>0:4:55</t>
  </si>
  <si>
    <t>11-07-2025 11:55:41</t>
  </si>
  <si>
    <t>1:45:33</t>
  </si>
  <si>
    <t>5:46:31</t>
  </si>
  <si>
    <t>11-07-2025 14:27:01</t>
  </si>
  <si>
    <t>11-07-2025 09:07:31</t>
  </si>
  <si>
    <t>0:6:34</t>
  </si>
  <si>
    <t>11-07-2025 11:53:54</t>
  </si>
  <si>
    <t>1:47:23</t>
  </si>
  <si>
    <t>6:28:9</t>
  </si>
  <si>
    <t>06-07-2025 10:48:09</t>
  </si>
  <si>
    <t>06-07-2025 08:56:36</t>
  </si>
  <si>
    <t>0:1:30</t>
  </si>
  <si>
    <t>06-07-2025 09:28:34</t>
  </si>
  <si>
    <t>0:17:22</t>
  </si>
  <si>
    <t>6:28:58</t>
  </si>
  <si>
    <t>06-07-2025 10:47:52</t>
  </si>
  <si>
    <t>06-07-2025 08:53:11</t>
  </si>
  <si>
    <t>0:4:56</t>
  </si>
  <si>
    <t>06-07-2025 09:27:11</t>
  </si>
  <si>
    <t>0:18:52</t>
  </si>
  <si>
    <t>5:41:47</t>
  </si>
  <si>
    <t>05-07-2025 16:21:52</t>
  </si>
  <si>
    <t>05-07-2025 10:02:38</t>
  </si>
  <si>
    <t>0:0:21</t>
  </si>
  <si>
    <t>05-07-2025 10:04:13</t>
  </si>
  <si>
    <t>6:10:52</t>
  </si>
  <si>
    <t>5:44:57</t>
  </si>
  <si>
    <t>05-07-2025 16:21:26</t>
  </si>
  <si>
    <t>05-07-2025 10:00:53</t>
  </si>
  <si>
    <t>0:2:2</t>
  </si>
  <si>
    <t>05-07-2025 10:04:15</t>
  </si>
  <si>
    <t>6:10:46</t>
  </si>
  <si>
    <t>5:16:49</t>
  </si>
  <si>
    <t>04-07-2025 12:47:01</t>
  </si>
  <si>
    <t>04-07-2025 08:44:07</t>
  </si>
  <si>
    <t>2:2:51</t>
  </si>
  <si>
    <t>04-07-2025 10:53:11</t>
  </si>
  <si>
    <t>0:51:11</t>
  </si>
  <si>
    <t>5:4:28</t>
  </si>
  <si>
    <t>04-07-2025 12:46:42</t>
  </si>
  <si>
    <t>04-07-2025 08:51:23</t>
  </si>
  <si>
    <t>1:55:45</t>
  </si>
  <si>
    <t>04-07-2025 10:50:19</t>
  </si>
  <si>
    <t>0:54:7</t>
  </si>
  <si>
    <t>4:33:44</t>
  </si>
  <si>
    <t>02-07-2025 12:54:09</t>
  </si>
  <si>
    <t>02-07-2025 11:17:35</t>
  </si>
  <si>
    <t>1:14:15</t>
  </si>
  <si>
    <t>02-07-2025 12:33:27</t>
  </si>
  <si>
    <t>0:1:13</t>
  </si>
  <si>
    <t>4:33:55</t>
  </si>
  <si>
    <t>02-07-2025 11:18:46</t>
  </si>
  <si>
    <t>1:13:2</t>
  </si>
  <si>
    <t>02-07-2025 12:32:21</t>
  </si>
  <si>
    <t>0:2:23</t>
  </si>
  <si>
    <t>Analysis TAT</t>
  </si>
  <si>
    <t>Analysis Date</t>
  </si>
  <si>
    <t>Collection Date</t>
  </si>
  <si>
    <t>Collection TAT</t>
  </si>
  <si>
    <t>Preparation Date</t>
  </si>
  <si>
    <t>Preparation TAT</t>
  </si>
  <si>
    <t>TOTAL TAT</t>
  </si>
  <si>
    <t>300720251300000027</t>
  </si>
  <si>
    <t>300720251300000026</t>
  </si>
  <si>
    <t>300720251300000025</t>
  </si>
  <si>
    <t>010820251300000025</t>
  </si>
  <si>
    <t>010820250121083057</t>
  </si>
  <si>
    <t>P0000000106632</t>
  </si>
  <si>
    <t>5:14:18</t>
  </si>
  <si>
    <t>01-08-2025 12:23:58</t>
  </si>
  <si>
    <t>01-08-2025 10:12:09</t>
  </si>
  <si>
    <t>01-08-2025 10:13:17</t>
  </si>
  <si>
    <t>1:12:27</t>
  </si>
  <si>
    <t xml:space="preserve">Dt 31.7.25 </t>
  </si>
  <si>
    <t>010820251300000024</t>
  </si>
  <si>
    <t>010820250121083056</t>
  </si>
  <si>
    <t>P0000000106631</t>
  </si>
  <si>
    <t>5:15:41</t>
  </si>
  <si>
    <t>01-08-2025 12:23:41</t>
  </si>
  <si>
    <t>01-08-2025 10:08:32</t>
  </si>
  <si>
    <t>0:3:55</t>
  </si>
  <si>
    <t>01-08-2025 10:13:15</t>
  </si>
  <si>
    <t>1:12:31</t>
  </si>
  <si>
    <t>Dt 31.7.25</t>
  </si>
  <si>
    <t>310720251300000006</t>
  </si>
  <si>
    <t>310720250121083043</t>
  </si>
  <si>
    <t>P0000000106629</t>
  </si>
  <si>
    <t>5:6:43</t>
  </si>
  <si>
    <t>31-07-2025 11:49:54</t>
  </si>
  <si>
    <t>31-07-2025 09:00:45</t>
  </si>
  <si>
    <t>0:3:47</t>
  </si>
  <si>
    <t>31-07-2025 09:05:57</t>
  </si>
  <si>
    <t>0:55:41</t>
  </si>
  <si>
    <t xml:space="preserve">Dt 30.7.25 </t>
  </si>
  <si>
    <t>310720251300000005</t>
  </si>
  <si>
    <t>310720250121083042</t>
  </si>
  <si>
    <t>P0000000106628</t>
  </si>
  <si>
    <t>5:6:50</t>
  </si>
  <si>
    <t>31-07-2025 11:49:37</t>
  </si>
  <si>
    <t>31-07-2025 08:59:01</t>
  </si>
  <si>
    <t>0:5:34</t>
  </si>
  <si>
    <t>31-07-2025 09:05:55</t>
  </si>
  <si>
    <t>0:55:47</t>
  </si>
  <si>
    <t>Dt 29.7.25(Fines 62-65%)</t>
  </si>
  <si>
    <t>240720250121083104 to 300720250121083047</t>
  </si>
  <si>
    <t>Total</t>
  </si>
  <si>
    <t>Lab Sample ID</t>
  </si>
  <si>
    <t>Lot Size</t>
  </si>
  <si>
    <t>Microsoft Excel 16.0 Answer Report</t>
  </si>
  <si>
    <t>Worksheet: [Product_Analysis_Report_July'25.xlsx]Sheet1</t>
  </si>
  <si>
    <t>Report Created: 22-08-2025 11:07:25</t>
  </si>
  <si>
    <t>Result: Solver found a solution.  All Constraints and optimality conditions are satisfied.</t>
  </si>
  <si>
    <t>Solver Engine</t>
  </si>
  <si>
    <t>Engine: GRG Nonlinear</t>
  </si>
  <si>
    <t>Solution Time: 0.39 Seconds.</t>
  </si>
  <si>
    <t>Iterations: 2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</si>
  <si>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</si>
  <si>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</si>
  <si>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</si>
  <si>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</si>
  <si>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</si>
  <si>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</si>
  <si>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</si>
  <si>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</si>
  <si>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</si>
  <si>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</si>
  <si>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</si>
  <si>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</si>
  <si>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</si>
  <si>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</si>
  <si>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</si>
  <si>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</si>
  <si>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$U$21</t>
  </si>
  <si>
    <t>$Q$5</t>
  </si>
  <si>
    <t>Fines Representative
Lot Qty</t>
  </si>
  <si>
    <t>Contin</t>
  </si>
  <si>
    <t>$Q$6</t>
  </si>
  <si>
    <t>$Q$7</t>
  </si>
  <si>
    <t>$Q$8</t>
  </si>
  <si>
    <t>$Q$9</t>
  </si>
  <si>
    <t>$Q$10</t>
  </si>
  <si>
    <t>$Q$11</t>
  </si>
  <si>
    <t>$Q$12</t>
  </si>
  <si>
    <t>$Q$13</t>
  </si>
  <si>
    <t>$Q$14</t>
  </si>
  <si>
    <t>$Q$15</t>
  </si>
  <si>
    <t>$Q$16</t>
  </si>
  <si>
    <t>$Q$17</t>
  </si>
  <si>
    <t>$Q$18</t>
  </si>
  <si>
    <t>Screen Fines Representative
Lot Qty</t>
  </si>
  <si>
    <t>$Q$19</t>
  </si>
  <si>
    <t>$Q$20</t>
  </si>
  <si>
    <t>$U$5</t>
  </si>
  <si>
    <t>Fines Fe</t>
  </si>
  <si>
    <t>$U$6</t>
  </si>
  <si>
    <t>$U$7</t>
  </si>
  <si>
    <t>$U$8</t>
  </si>
  <si>
    <t>$U$9</t>
  </si>
  <si>
    <t>$U$10</t>
  </si>
  <si>
    <t>$U$11</t>
  </si>
  <si>
    <t>$U$12</t>
  </si>
  <si>
    <t>$U$13</t>
  </si>
  <si>
    <t>$U$14</t>
  </si>
  <si>
    <t>$U$15</t>
  </si>
  <si>
    <t>$U$16</t>
  </si>
  <si>
    <t>$U$17</t>
  </si>
  <si>
    <t>$U$18</t>
  </si>
  <si>
    <t>Screen Fines Fe</t>
  </si>
  <si>
    <t>$U$19</t>
  </si>
  <si>
    <t>$U$20</t>
  </si>
  <si>
    <t>$U$21&lt;=62</t>
  </si>
  <si>
    <t>Not Binding</t>
  </si>
  <si>
    <t>$U$21=61.5</t>
  </si>
  <si>
    <t>Binding</t>
  </si>
  <si>
    <t>$Q$5:$Q$20</t>
  </si>
  <si>
    <t>$U$5:$U$20</t>
  </si>
  <si>
    <t>Microsoft Excel 16.0 Sensitivity Report</t>
  </si>
  <si>
    <t>Report Created: 22-08-2025 11:07:26</t>
  </si>
  <si>
    <t>Final</t>
  </si>
  <si>
    <t>Value</t>
  </si>
  <si>
    <t>Reduced</t>
  </si>
  <si>
    <t>Gradient</t>
  </si>
  <si>
    <t>Lagrange</t>
  </si>
  <si>
    <t>Multiplier</t>
  </si>
  <si>
    <t>Microsoft Excel 16.0 Limits Report</t>
  </si>
  <si>
    <t>Report Created: 22-08-2025 11:07:27</t>
  </si>
  <si>
    <t>Objective</t>
  </si>
  <si>
    <t>Variable</t>
  </si>
  <si>
    <t>Lower</t>
  </si>
  <si>
    <t>Limit</t>
  </si>
  <si>
    <t>Result</t>
  </si>
  <si>
    <t>Upper</t>
  </si>
  <si>
    <t>July- Sample(LIMS)</t>
  </si>
  <si>
    <t>Ds 23.7.25 (62-65%)</t>
  </si>
  <si>
    <t>Samp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</si>
</sst>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&quot;Days&quot;\ hh:mm:ss"/>
  </numFmts>
  <fonts count="8" x14ac:knownFonts="1">
    <font>
      <sz val="11"/>
      <color indexed="8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13" xfId="0" applyBorder="1"/>
    <xf numFmtId="0" fontId="4" fillId="0" borderId="13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8" xfId="0" applyBorder="1" applyAlignment="1">
      <alignment vertical="center"/>
    </xf>
    <xf numFmtId="2" fontId="0" fillId="0" borderId="13" xfId="0" applyNumberFormat="1" applyBorder="1" applyAlignment="1">
      <alignment vertical="center"/>
    </xf>
    <xf numFmtId="2" fontId="0" fillId="0" borderId="14" xfId="0" applyNumberFormat="1" applyBorder="1" applyAlignment="1">
      <alignment vertical="center"/>
    </xf>
    <xf numFmtId="2" fontId="0" fillId="0" borderId="4" xfId="0" applyNumberFormat="1" applyBorder="1"/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2" fontId="0" fillId="0" borderId="17" xfId="0" applyNumberForma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2" fontId="0" fillId="0" borderId="18" xfId="0" applyNumberFormat="1" applyBorder="1" applyAlignment="1">
      <alignment vertical="center"/>
    </xf>
    <xf numFmtId="2" fontId="0" fillId="0" borderId="19" xfId="0" applyNumberFormat="1" applyBorder="1" applyAlignment="1">
      <alignment vertical="center"/>
    </xf>
    <xf numFmtId="2" fontId="0" fillId="0" borderId="2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3" xfId="0" applyNumberFormat="1" applyBorder="1"/>
    <xf numFmtId="2" fontId="0" fillId="0" borderId="2" xfId="0" applyNumberFormat="1" applyBorder="1"/>
    <xf numFmtId="2" fontId="0" fillId="0" borderId="0" xfId="0" applyNumberFormat="1" applyAlignment="1">
      <alignment vertical="center"/>
    </xf>
    <xf numFmtId="2" fontId="0" fillId="0" borderId="0" xfId="0" applyNumberFormat="1"/>
    <xf numFmtId="0" fontId="5" fillId="0" borderId="0" xfId="0" applyFont="1"/>
    <xf numFmtId="0" fontId="0" fillId="0" borderId="23" xfId="0" applyBorder="1"/>
    <xf numFmtId="0" fontId="6" fillId="0" borderId="22" xfId="0" applyFont="1" applyBorder="1" applyAlignment="1">
      <alignment horizontal="center"/>
    </xf>
    <xf numFmtId="0" fontId="0" fillId="0" borderId="24" xfId="0" applyBorder="1"/>
    <xf numFmtId="2" fontId="0" fillId="0" borderId="23" xfId="0" applyNumberFormat="1" applyBorder="1"/>
    <xf numFmtId="0" fontId="0" fillId="0" borderId="24" xfId="0" applyBorder="1" applyAlignment="1">
      <alignment wrapText="1"/>
    </xf>
    <xf numFmtId="2" fontId="0" fillId="0" borderId="24" xfId="0" applyNumberForma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24" xfId="0" applyFont="1" applyBorder="1" applyAlignment="1">
      <alignment horizontal="left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3" fillId="0" borderId="0" xfId="0" applyFont="1"/>
    <xf numFmtId="0" fontId="0" fillId="0" borderId="0" xfId="0"/>
    <xf numFmtId="0" fontId="0" fillId="0" borderId="13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abSelected="1" zoomScale="92" zoomScaleNormal="92" workbookViewId="0">
      <selection activeCell="I2" activeCellId="1" sqref="D1:D1048576 I1:I1048576"/>
    </sheetView>
  </sheetViews>
  <sheetFormatPr defaultColWidth="8.77734375" defaultRowHeight="14.4" x14ac:dyDescent="0.3"/>
  <cols>
    <col min="1" max="1" width="6.44140625" style="2" bestFit="1" customWidth="1"/>
    <col min="2" max="2" width="7.6640625" style="2" bestFit="1" customWidth="1"/>
    <col min="3" max="3" width="9.44140625" style="2" bestFit="1" customWidth="1"/>
    <col min="4" max="4" width="16.33203125" style="2" bestFit="1" customWidth="1"/>
    <col min="5" max="5" width="11.33203125" style="2" bestFit="1" customWidth="1"/>
    <col min="6" max="6" width="13.6640625" style="2" bestFit="1" customWidth="1"/>
    <col min="7" max="8" width="11.33203125" style="2" bestFit="1" customWidth="1"/>
    <col min="9" max="9" width="7.33203125" style="2" bestFit="1" customWidth="1"/>
    <col min="10" max="10" width="9.21875" style="2" bestFit="1" customWidth="1"/>
    <col min="11" max="11" width="10.44140625" style="2" bestFit="1" customWidth="1"/>
    <col min="12" max="12" width="10.109375" style="2" bestFit="1" customWidth="1"/>
    <col min="13" max="13" width="8.88671875" style="2" bestFit="1" customWidth="1"/>
    <col min="14" max="14" width="8" style="2" bestFit="1" customWidth="1"/>
    <col min="15" max="15" width="9.6640625" style="2" bestFit="1" customWidth="1"/>
    <col min="16" max="16" width="8.21875" style="2" bestFit="1" customWidth="1"/>
    <col min="17" max="17" width="21.5546875" style="2" bestFit="1" customWidth="1"/>
    <col min="18" max="18" width="16.21875" style="2" bestFit="1" customWidth="1"/>
    <col min="19" max="16384" width="8.77734375" style="2"/>
  </cols>
  <sheetData>
    <row r="1" spans="1:18" ht="15.6" x14ac:dyDescent="0.3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4" spans="1:18" x14ac:dyDescent="0.3">
      <c r="A4" s="73" t="s">
        <v>1</v>
      </c>
      <c r="B4" s="1"/>
      <c r="C4" s="73" t="s">
        <v>7</v>
      </c>
      <c r="D4" s="73" t="s">
        <v>8</v>
      </c>
      <c r="E4" s="73" t="s">
        <v>9</v>
      </c>
      <c r="F4" s="73" t="s">
        <v>10</v>
      </c>
      <c r="G4" s="73" t="s">
        <v>12</v>
      </c>
      <c r="H4" s="74"/>
      <c r="I4" s="73" t="s">
        <v>15</v>
      </c>
      <c r="J4" s="74"/>
      <c r="K4" s="74"/>
      <c r="L4" s="74"/>
      <c r="M4" s="74"/>
      <c r="N4" s="74"/>
      <c r="O4" s="74"/>
      <c r="P4" s="74"/>
      <c r="Q4" s="73" t="s">
        <v>24</v>
      </c>
      <c r="R4" s="73" t="s">
        <v>25</v>
      </c>
    </row>
    <row r="5" spans="1:18" x14ac:dyDescent="0.3">
      <c r="A5" s="74"/>
      <c r="B5" s="2" t="s">
        <v>522</v>
      </c>
      <c r="C5" s="74"/>
      <c r="D5" s="74"/>
      <c r="E5" s="74"/>
      <c r="F5" s="74"/>
      <c r="Q5" s="74"/>
      <c r="R5" s="74"/>
    </row>
    <row r="6" spans="1:18" x14ac:dyDescent="0.3">
      <c r="A6" s="74"/>
      <c r="C6" s="74"/>
      <c r="D6" s="74"/>
      <c r="E6" s="74"/>
      <c r="F6" s="74"/>
      <c r="G6" s="1" t="s">
        <v>13</v>
      </c>
      <c r="H6" s="1" t="s">
        <v>14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74"/>
      <c r="R6" s="74"/>
    </row>
    <row r="7" spans="1:18" x14ac:dyDescent="0.3">
      <c r="A7" s="2">
        <v>1</v>
      </c>
      <c r="B7" s="2">
        <v>106632</v>
      </c>
      <c r="C7" s="2" t="s">
        <v>30</v>
      </c>
      <c r="D7" s="2" t="s">
        <v>31</v>
      </c>
      <c r="E7" s="2" t="s">
        <v>32</v>
      </c>
      <c r="F7" s="2">
        <v>200</v>
      </c>
      <c r="G7" s="3">
        <v>3.69</v>
      </c>
      <c r="H7" s="3">
        <v>4.92</v>
      </c>
      <c r="I7" s="3">
        <v>61.75</v>
      </c>
      <c r="J7" s="3">
        <v>2.9037299999999999</v>
      </c>
      <c r="K7" s="3">
        <v>3.6890000000000001</v>
      </c>
      <c r="L7" s="3">
        <v>0</v>
      </c>
      <c r="M7" s="3">
        <v>4.4999999999999998E-2</v>
      </c>
      <c r="N7" s="3">
        <v>9.715E-2</v>
      </c>
      <c r="O7" s="3">
        <v>1.7000000000000001E-2</v>
      </c>
      <c r="P7" s="3">
        <v>4.74</v>
      </c>
      <c r="Q7" s="2" t="s">
        <v>401</v>
      </c>
    </row>
    <row r="8" spans="1:18" x14ac:dyDescent="0.3">
      <c r="A8" s="2">
        <v>2</v>
      </c>
      <c r="B8" s="2">
        <v>106631</v>
      </c>
      <c r="C8" s="2" t="s">
        <v>30</v>
      </c>
      <c r="D8" s="2" t="s">
        <v>31</v>
      </c>
      <c r="E8" s="2" t="s">
        <v>36</v>
      </c>
      <c r="F8" s="2">
        <v>800</v>
      </c>
      <c r="G8" s="3">
        <v>4.87</v>
      </c>
      <c r="H8" s="3">
        <v>95.13</v>
      </c>
      <c r="I8" s="3">
        <v>63.89</v>
      </c>
      <c r="J8" s="3">
        <v>1.8470200000000001</v>
      </c>
      <c r="K8" s="3">
        <v>2.3490000000000002</v>
      </c>
      <c r="L8" s="3">
        <v>0</v>
      </c>
      <c r="M8" s="3">
        <v>1.7000000000000001E-2</v>
      </c>
      <c r="N8" s="3">
        <v>0.1116</v>
      </c>
      <c r="O8" s="3">
        <v>4.0000000000000001E-3</v>
      </c>
      <c r="P8" s="3">
        <v>4.1100000000000003</v>
      </c>
      <c r="Q8" s="2" t="s">
        <v>411</v>
      </c>
    </row>
    <row r="9" spans="1:18" x14ac:dyDescent="0.3">
      <c r="A9" s="2">
        <v>3</v>
      </c>
      <c r="B9" s="2">
        <v>106629</v>
      </c>
      <c r="C9" s="2" t="s">
        <v>30</v>
      </c>
      <c r="D9" s="2" t="s">
        <v>31</v>
      </c>
      <c r="E9" s="2" t="s">
        <v>32</v>
      </c>
      <c r="F9" s="2">
        <v>140</v>
      </c>
      <c r="G9" s="8">
        <v>4.7699999999999996</v>
      </c>
      <c r="H9" s="8">
        <v>4.84</v>
      </c>
      <c r="I9" s="8">
        <v>64.81</v>
      </c>
      <c r="J9" s="8">
        <v>1.73552</v>
      </c>
      <c r="K9" s="8">
        <v>2.2349999999999999</v>
      </c>
      <c r="L9" s="8">
        <v>0</v>
      </c>
      <c r="M9" s="8">
        <v>2.9000000000000001E-2</v>
      </c>
      <c r="N9" s="8">
        <v>5.6099999999999997E-2</v>
      </c>
      <c r="O9" s="8">
        <v>1.2999999999999999E-2</v>
      </c>
      <c r="P9" s="8">
        <v>3.14</v>
      </c>
      <c r="Q9" s="2" t="s">
        <v>421</v>
      </c>
      <c r="R9" s="75" t="s">
        <v>520</v>
      </c>
    </row>
    <row r="10" spans="1:18" x14ac:dyDescent="0.3">
      <c r="A10" s="2">
        <v>4</v>
      </c>
      <c r="B10" s="2">
        <v>106628</v>
      </c>
      <c r="C10" s="2" t="s">
        <v>30</v>
      </c>
      <c r="D10" s="2" t="s">
        <v>31</v>
      </c>
      <c r="E10" s="2" t="s">
        <v>36</v>
      </c>
      <c r="F10" s="2">
        <v>560</v>
      </c>
      <c r="G10" s="8">
        <v>4.9800000000000004</v>
      </c>
      <c r="H10" s="8">
        <v>95.02</v>
      </c>
      <c r="I10" s="8">
        <v>61.51</v>
      </c>
      <c r="J10" s="8">
        <v>3.1471900000000002</v>
      </c>
      <c r="K10" s="8">
        <v>4.32</v>
      </c>
      <c r="L10" s="8">
        <v>0</v>
      </c>
      <c r="M10" s="8">
        <v>4.7E-2</v>
      </c>
      <c r="N10" s="8">
        <v>6.6919999999999993E-2</v>
      </c>
      <c r="O10" s="8">
        <v>3.2000000000000001E-2</v>
      </c>
      <c r="P10" s="8">
        <v>4.29</v>
      </c>
      <c r="Q10" s="2" t="s">
        <v>421</v>
      </c>
      <c r="R10" s="75"/>
    </row>
    <row r="11" spans="1:18" x14ac:dyDescent="0.3">
      <c r="A11" s="2">
        <v>5</v>
      </c>
      <c r="B11" s="2">
        <v>106627</v>
      </c>
      <c r="C11" s="2" t="s">
        <v>30</v>
      </c>
      <c r="D11" s="2" t="s">
        <v>31</v>
      </c>
      <c r="E11" s="2" t="s">
        <v>32</v>
      </c>
      <c r="F11" s="2">
        <v>300</v>
      </c>
      <c r="G11" s="8">
        <v>4.55</v>
      </c>
      <c r="H11" s="8">
        <v>4.87</v>
      </c>
      <c r="I11" s="8">
        <v>64.38</v>
      </c>
      <c r="J11" s="8">
        <v>1.6752899999999999</v>
      </c>
      <c r="K11" s="8">
        <v>2.3010000000000002</v>
      </c>
      <c r="L11" s="8">
        <v>0</v>
      </c>
      <c r="M11" s="8">
        <v>2.1000000000000001E-2</v>
      </c>
      <c r="N11" s="8">
        <v>5.9450000000000003E-2</v>
      </c>
      <c r="O11" s="8">
        <v>0.114</v>
      </c>
      <c r="P11" s="8">
        <v>3.64</v>
      </c>
      <c r="Q11" s="2" t="s">
        <v>33</v>
      </c>
      <c r="R11" s="75"/>
    </row>
    <row r="12" spans="1:18" x14ac:dyDescent="0.3">
      <c r="A12" s="2">
        <v>6</v>
      </c>
      <c r="B12" s="2">
        <v>106626</v>
      </c>
      <c r="C12" s="2" t="s">
        <v>30</v>
      </c>
      <c r="D12" s="2" t="s">
        <v>31</v>
      </c>
      <c r="E12" s="2" t="s">
        <v>36</v>
      </c>
      <c r="F12" s="2">
        <v>385</v>
      </c>
      <c r="G12" s="8">
        <v>4.78</v>
      </c>
      <c r="H12" s="8">
        <v>95.22</v>
      </c>
      <c r="I12" s="8">
        <v>59.12</v>
      </c>
      <c r="J12" s="8">
        <v>3.7402700000000002</v>
      </c>
      <c r="K12" s="8">
        <v>5.7990000000000004</v>
      </c>
      <c r="L12" s="8">
        <v>0</v>
      </c>
      <c r="M12" s="8">
        <v>6.4000000000000001E-2</v>
      </c>
      <c r="N12" s="8">
        <v>7.4759999999999993E-2</v>
      </c>
      <c r="O12" s="8">
        <v>4.4999999999999998E-2</v>
      </c>
      <c r="P12" s="8">
        <v>5.54</v>
      </c>
      <c r="Q12" s="2" t="s">
        <v>33</v>
      </c>
      <c r="R12" s="75"/>
    </row>
    <row r="13" spans="1:18" x14ac:dyDescent="0.3">
      <c r="A13" s="2">
        <v>7</v>
      </c>
      <c r="B13" s="2">
        <v>106625</v>
      </c>
      <c r="C13" s="2" t="s">
        <v>30</v>
      </c>
      <c r="D13" s="2" t="s">
        <v>39</v>
      </c>
      <c r="E13" s="2" t="s">
        <v>36</v>
      </c>
      <c r="F13" s="7">
        <v>815</v>
      </c>
      <c r="G13" s="8">
        <v>4.84</v>
      </c>
      <c r="H13" s="8">
        <v>95.16</v>
      </c>
      <c r="I13" s="8">
        <v>64.27</v>
      </c>
      <c r="J13" s="8">
        <v>3.2066400000000002</v>
      </c>
      <c r="K13" s="8">
        <v>2.161</v>
      </c>
      <c r="L13" s="8">
        <v>0</v>
      </c>
      <c r="M13" s="8">
        <v>4.8000000000000001E-2</v>
      </c>
      <c r="N13" s="8">
        <v>3.3489999999999999E-2</v>
      </c>
      <c r="O13" s="8">
        <v>8.0000000000000002E-3</v>
      </c>
      <c r="P13" s="8">
        <v>2.54</v>
      </c>
      <c r="Q13" s="2" t="s">
        <v>431</v>
      </c>
      <c r="R13" s="75"/>
    </row>
    <row r="14" spans="1:18" x14ac:dyDescent="0.3">
      <c r="A14" s="2">
        <v>8</v>
      </c>
      <c r="B14" s="2">
        <v>104914</v>
      </c>
      <c r="C14" s="2" t="s">
        <v>30</v>
      </c>
      <c r="D14" s="2" t="s">
        <v>31</v>
      </c>
      <c r="E14" s="2" t="s">
        <v>32</v>
      </c>
      <c r="F14" s="2">
        <v>260</v>
      </c>
      <c r="G14" s="8">
        <v>4.66</v>
      </c>
      <c r="H14" s="8">
        <v>4.8099999999999996</v>
      </c>
      <c r="I14" s="8">
        <v>64.5</v>
      </c>
      <c r="J14" s="8">
        <v>1.3253299999999999</v>
      </c>
      <c r="K14" s="8">
        <v>2.6739999999999999</v>
      </c>
      <c r="L14" s="8">
        <v>0</v>
      </c>
      <c r="M14" s="8">
        <v>1.9E-2</v>
      </c>
      <c r="N14" s="8">
        <v>5.4260000000000003E-2</v>
      </c>
      <c r="O14" s="8">
        <v>9.4E-2</v>
      </c>
      <c r="P14" s="8">
        <v>3.46</v>
      </c>
      <c r="Q14" s="2" t="s">
        <v>26</v>
      </c>
      <c r="R14" s="75"/>
    </row>
    <row r="15" spans="1:18" x14ac:dyDescent="0.3">
      <c r="A15" s="2">
        <v>9</v>
      </c>
      <c r="B15" s="2">
        <v>104913</v>
      </c>
      <c r="C15" s="2" t="s">
        <v>30</v>
      </c>
      <c r="D15" s="2" t="s">
        <v>31</v>
      </c>
      <c r="E15" s="2" t="s">
        <v>36</v>
      </c>
      <c r="F15" s="7">
        <v>1040</v>
      </c>
      <c r="G15" s="8">
        <v>4.88</v>
      </c>
      <c r="H15" s="8">
        <v>95.12</v>
      </c>
      <c r="I15" s="8">
        <v>61.94</v>
      </c>
      <c r="J15" s="8">
        <v>3.6643699999999999</v>
      </c>
      <c r="K15" s="8">
        <v>3.9</v>
      </c>
      <c r="L15" s="8">
        <v>0</v>
      </c>
      <c r="M15" s="8">
        <v>6.4000000000000001E-2</v>
      </c>
      <c r="N15" s="8">
        <v>4.7660000000000001E-2</v>
      </c>
      <c r="O15" s="8">
        <v>3.5000000000000003E-2</v>
      </c>
      <c r="P15" s="8">
        <v>3.57</v>
      </c>
      <c r="Q15" s="2" t="s">
        <v>47</v>
      </c>
      <c r="R15" s="75"/>
    </row>
    <row r="16" spans="1:18" x14ac:dyDescent="0.3">
      <c r="A16" s="2">
        <v>10</v>
      </c>
      <c r="B16" s="2">
        <v>104910</v>
      </c>
      <c r="C16" s="2" t="s">
        <v>30</v>
      </c>
      <c r="D16" s="2" t="s">
        <v>31</v>
      </c>
      <c r="E16" s="2" t="s">
        <v>32</v>
      </c>
      <c r="F16" s="2">
        <v>200</v>
      </c>
      <c r="G16" s="8">
        <v>4.5199999999999996</v>
      </c>
      <c r="H16" s="8">
        <v>4.84</v>
      </c>
      <c r="I16" s="8">
        <v>62.63</v>
      </c>
      <c r="J16" s="8">
        <v>1.62754</v>
      </c>
      <c r="K16" s="8">
        <v>4.5460000000000003</v>
      </c>
      <c r="L16" s="8">
        <v>0</v>
      </c>
      <c r="M16" s="8">
        <v>2.4E-2</v>
      </c>
      <c r="N16" s="8">
        <v>6.54E-2</v>
      </c>
      <c r="O16" s="8">
        <v>1.6E-2</v>
      </c>
      <c r="P16" s="8">
        <v>4.05</v>
      </c>
      <c r="Q16" s="2" t="s">
        <v>26</v>
      </c>
      <c r="R16" s="75"/>
    </row>
    <row r="17" spans="1:18" x14ac:dyDescent="0.3">
      <c r="A17" s="2">
        <v>11</v>
      </c>
      <c r="B17" s="2">
        <v>104909</v>
      </c>
      <c r="C17" s="2" t="s">
        <v>30</v>
      </c>
      <c r="D17" s="2" t="s">
        <v>31</v>
      </c>
      <c r="E17" s="2" t="s">
        <v>36</v>
      </c>
      <c r="F17" s="7">
        <v>800</v>
      </c>
      <c r="G17" s="8">
        <v>4.7699999999999996</v>
      </c>
      <c r="H17" s="8">
        <v>95.23</v>
      </c>
      <c r="I17" s="8">
        <v>65.81</v>
      </c>
      <c r="J17" s="8">
        <v>2.55071</v>
      </c>
      <c r="K17" s="8">
        <v>1.5309999999999999</v>
      </c>
      <c r="L17" s="8">
        <v>0</v>
      </c>
      <c r="M17" s="8">
        <v>3.5999999999999997E-2</v>
      </c>
      <c r="N17" s="8">
        <v>1.8620000000000001E-2</v>
      </c>
      <c r="O17" s="8">
        <v>3.4000000000000002E-2</v>
      </c>
      <c r="P17" s="8">
        <v>1.66</v>
      </c>
      <c r="Q17" s="2" t="s">
        <v>47</v>
      </c>
      <c r="R17" s="75"/>
    </row>
    <row r="18" spans="1:18" x14ac:dyDescent="0.3">
      <c r="A18" s="2">
        <v>12</v>
      </c>
      <c r="B18" s="2">
        <v>106620</v>
      </c>
      <c r="C18" s="2" t="s">
        <v>30</v>
      </c>
      <c r="D18" s="2" t="s">
        <v>59</v>
      </c>
      <c r="E18" s="2" t="s">
        <v>32</v>
      </c>
      <c r="F18" s="2">
        <v>200</v>
      </c>
      <c r="G18" s="8">
        <v>4.67</v>
      </c>
      <c r="H18" s="8">
        <v>4.8499999999999996</v>
      </c>
      <c r="I18" s="8">
        <v>64.849999999999994</v>
      </c>
      <c r="J18" s="8">
        <v>2.6828500000000002</v>
      </c>
      <c r="K18" s="8">
        <v>1.607</v>
      </c>
      <c r="L18" s="8">
        <v>0</v>
      </c>
      <c r="M18" s="8">
        <v>5.8999999999999997E-2</v>
      </c>
      <c r="N18" s="8">
        <v>4.8489999999999998E-2</v>
      </c>
      <c r="O18" s="8">
        <v>7.0000000000000001E-3</v>
      </c>
      <c r="P18" s="8">
        <v>2.74</v>
      </c>
      <c r="Q18" s="2" t="s">
        <v>60</v>
      </c>
      <c r="R18" s="75"/>
    </row>
    <row r="19" spans="1:18" x14ac:dyDescent="0.3">
      <c r="A19" s="2">
        <v>13</v>
      </c>
      <c r="B19" s="2">
        <v>106619</v>
      </c>
      <c r="C19" s="2" t="s">
        <v>30</v>
      </c>
      <c r="D19" s="2" t="s">
        <v>31</v>
      </c>
      <c r="E19" s="2" t="s">
        <v>36</v>
      </c>
      <c r="F19" s="2">
        <v>800</v>
      </c>
      <c r="G19" s="8">
        <v>4.7300000000000004</v>
      </c>
      <c r="H19" s="8">
        <v>95.27</v>
      </c>
      <c r="I19" s="8">
        <v>62.83</v>
      </c>
      <c r="J19" s="8">
        <v>3.46705</v>
      </c>
      <c r="K19" s="8">
        <v>2.6549999999999998</v>
      </c>
      <c r="L19" s="8">
        <v>0</v>
      </c>
      <c r="M19" s="8">
        <v>5.7000000000000002E-2</v>
      </c>
      <c r="N19" s="8">
        <v>4.6969999999999998E-2</v>
      </c>
      <c r="O19" s="8">
        <v>1.4E-2</v>
      </c>
      <c r="P19" s="8">
        <v>3.78</v>
      </c>
      <c r="Q19" s="2" t="s">
        <v>60</v>
      </c>
      <c r="R19" s="75"/>
    </row>
    <row r="20" spans="1:18" x14ac:dyDescent="0.3">
      <c r="A20" s="2">
        <v>14</v>
      </c>
      <c r="B20" s="2">
        <v>106616</v>
      </c>
      <c r="C20" s="2" t="s">
        <v>30</v>
      </c>
      <c r="D20" s="2" t="s">
        <v>68</v>
      </c>
      <c r="E20" s="2" t="s">
        <v>32</v>
      </c>
      <c r="F20" s="2">
        <v>200</v>
      </c>
      <c r="G20" s="8">
        <v>4.55</v>
      </c>
      <c r="H20" s="8">
        <v>4.87</v>
      </c>
      <c r="I20" s="8">
        <v>62.52</v>
      </c>
      <c r="J20" s="8">
        <v>2.81026</v>
      </c>
      <c r="K20" s="8">
        <v>3.9689999999999999</v>
      </c>
      <c r="L20" s="8">
        <v>0</v>
      </c>
      <c r="M20" s="8">
        <v>2.1000000000000001E-2</v>
      </c>
      <c r="N20" s="8">
        <v>4.0469999999999999E-2</v>
      </c>
      <c r="O20" s="8">
        <v>5.1999999999999998E-2</v>
      </c>
      <c r="P20" s="8">
        <v>3.59</v>
      </c>
      <c r="Q20" s="2" t="s">
        <v>69</v>
      </c>
      <c r="R20" s="75"/>
    </row>
    <row r="21" spans="1:18" x14ac:dyDescent="0.3">
      <c r="A21" s="2">
        <v>15</v>
      </c>
      <c r="B21" s="2">
        <v>106615</v>
      </c>
      <c r="C21" s="2" t="s">
        <v>30</v>
      </c>
      <c r="D21" s="2" t="s">
        <v>73</v>
      </c>
      <c r="E21" s="2" t="s">
        <v>36</v>
      </c>
      <c r="F21" s="7">
        <v>800</v>
      </c>
      <c r="G21" s="8">
        <v>4.78</v>
      </c>
      <c r="H21" s="8">
        <v>95.22</v>
      </c>
      <c r="I21" s="8">
        <v>61.65</v>
      </c>
      <c r="J21" s="8">
        <v>5.6256300000000001</v>
      </c>
      <c r="K21" s="8">
        <v>2.94</v>
      </c>
      <c r="L21" s="8">
        <v>0</v>
      </c>
      <c r="M21" s="8">
        <v>5.8000000000000003E-2</v>
      </c>
      <c r="N21" s="8">
        <v>2.8879999999999999E-2</v>
      </c>
      <c r="O21" s="8">
        <v>2.1000000000000001E-2</v>
      </c>
      <c r="P21" s="8">
        <v>3.02</v>
      </c>
      <c r="Q21" s="2" t="s">
        <v>521</v>
      </c>
      <c r="R21" s="75"/>
    </row>
    <row r="22" spans="1:18" x14ac:dyDescent="0.3">
      <c r="A22" s="2">
        <v>16</v>
      </c>
      <c r="B22" s="2">
        <v>106647</v>
      </c>
      <c r="C22" s="2" t="s">
        <v>30</v>
      </c>
      <c r="D22" s="2" t="s">
        <v>59</v>
      </c>
      <c r="E22" s="2" t="s">
        <v>32</v>
      </c>
      <c r="F22" s="2">
        <v>200</v>
      </c>
      <c r="G22" s="8">
        <v>4.47</v>
      </c>
      <c r="H22" s="8">
        <v>4.75</v>
      </c>
      <c r="I22" s="8">
        <v>63.16</v>
      </c>
      <c r="J22" s="8">
        <v>2.9662600000000001</v>
      </c>
      <c r="K22" s="8">
        <v>2.9620000000000002</v>
      </c>
      <c r="L22" s="8">
        <v>0</v>
      </c>
      <c r="M22" s="8">
        <v>6.8000000000000005E-2</v>
      </c>
      <c r="N22" s="8">
        <v>5.2299999999999999E-2</v>
      </c>
      <c r="O22" s="8">
        <v>3.5999999999999997E-2</v>
      </c>
      <c r="P22" s="8">
        <v>3.48</v>
      </c>
      <c r="Q22" s="2" t="s">
        <v>78</v>
      </c>
      <c r="R22" s="75"/>
    </row>
    <row r="23" spans="1:18" x14ac:dyDescent="0.3">
      <c r="A23" s="2">
        <v>17</v>
      </c>
      <c r="B23" s="2">
        <v>106646</v>
      </c>
      <c r="C23" s="2" t="s">
        <v>30</v>
      </c>
      <c r="D23" s="2" t="s">
        <v>59</v>
      </c>
      <c r="E23" s="2" t="s">
        <v>36</v>
      </c>
      <c r="F23" s="2">
        <v>800</v>
      </c>
      <c r="G23" s="8">
        <v>4.84</v>
      </c>
      <c r="H23" s="8">
        <v>95.16</v>
      </c>
      <c r="I23" s="8">
        <v>62.53</v>
      </c>
      <c r="J23" s="8">
        <v>3.9046599999999998</v>
      </c>
      <c r="K23" s="8">
        <v>3.2040000000000002</v>
      </c>
      <c r="L23" s="8">
        <v>0</v>
      </c>
      <c r="M23" s="8">
        <v>8.1000000000000003E-2</v>
      </c>
      <c r="N23" s="8">
        <v>4.6629999999999998E-2</v>
      </c>
      <c r="O23" s="8">
        <v>1.6E-2</v>
      </c>
      <c r="P23" s="8">
        <v>3.18</v>
      </c>
      <c r="Q23" s="2" t="s">
        <v>78</v>
      </c>
      <c r="R23" s="75"/>
    </row>
    <row r="24" spans="1:18" x14ac:dyDescent="0.3">
      <c r="A24" s="2">
        <v>18</v>
      </c>
      <c r="B24" s="2">
        <v>106639</v>
      </c>
      <c r="C24" s="2" t="s">
        <v>30</v>
      </c>
      <c r="D24" s="2" t="s">
        <v>31</v>
      </c>
      <c r="E24" s="2" t="s">
        <v>32</v>
      </c>
      <c r="F24" s="2">
        <v>200</v>
      </c>
      <c r="G24" s="8">
        <v>4.33</v>
      </c>
      <c r="H24" s="8">
        <v>4.68</v>
      </c>
      <c r="I24" s="8">
        <v>65.31</v>
      </c>
      <c r="J24" s="8">
        <v>1.6212599999999999</v>
      </c>
      <c r="K24" s="8">
        <v>1.6</v>
      </c>
      <c r="L24" s="8">
        <v>0</v>
      </c>
      <c r="M24" s="8">
        <v>0.02</v>
      </c>
      <c r="N24" s="8">
        <v>6.0850000000000001E-2</v>
      </c>
      <c r="O24" s="8">
        <v>2.5999999999999999E-2</v>
      </c>
      <c r="P24" s="8">
        <v>3.15</v>
      </c>
      <c r="Q24" s="2" t="s">
        <v>86</v>
      </c>
      <c r="R24" s="75"/>
    </row>
    <row r="25" spans="1:18" x14ac:dyDescent="0.3">
      <c r="A25" s="2">
        <v>19</v>
      </c>
      <c r="B25" s="2">
        <v>106638</v>
      </c>
      <c r="C25" s="2" t="s">
        <v>30</v>
      </c>
      <c r="D25" s="2" t="s">
        <v>31</v>
      </c>
      <c r="E25" s="2" t="s">
        <v>36</v>
      </c>
      <c r="F25" s="2">
        <v>800</v>
      </c>
      <c r="G25" s="8">
        <v>4.82</v>
      </c>
      <c r="H25" s="8">
        <v>95.18</v>
      </c>
      <c r="I25" s="8">
        <v>63.03</v>
      </c>
      <c r="J25" s="8">
        <v>2.9224899999999998</v>
      </c>
      <c r="K25" s="8">
        <v>2.976</v>
      </c>
      <c r="L25" s="8">
        <v>0</v>
      </c>
      <c r="M25" s="8">
        <v>3.7999999999999999E-2</v>
      </c>
      <c r="N25" s="8">
        <v>5.4760000000000003E-2</v>
      </c>
      <c r="O25" s="8">
        <v>3.4000000000000002E-2</v>
      </c>
      <c r="P25" s="8">
        <v>3.73</v>
      </c>
      <c r="Q25" s="2" t="s">
        <v>86</v>
      </c>
      <c r="R25" s="75"/>
    </row>
    <row r="26" spans="1:18" x14ac:dyDescent="0.3">
      <c r="A26" s="2">
        <v>20</v>
      </c>
      <c r="B26" s="2">
        <v>104888</v>
      </c>
      <c r="C26" s="2" t="s">
        <v>30</v>
      </c>
      <c r="D26" s="2" t="s">
        <v>59</v>
      </c>
      <c r="E26" s="2" t="s">
        <v>32</v>
      </c>
      <c r="F26" s="2">
        <v>180</v>
      </c>
      <c r="G26" s="8">
        <v>4.58</v>
      </c>
      <c r="H26" s="8">
        <v>4.8</v>
      </c>
      <c r="I26" s="8">
        <v>60.57</v>
      </c>
      <c r="J26" s="8">
        <v>2.1153</v>
      </c>
      <c r="K26" s="8">
        <v>4.718</v>
      </c>
      <c r="L26" s="8">
        <v>0</v>
      </c>
      <c r="M26" s="8">
        <v>2.7E-2</v>
      </c>
      <c r="N26" s="8">
        <v>8.8700000000000001E-2</v>
      </c>
      <c r="O26" s="8">
        <v>0.127</v>
      </c>
      <c r="P26" s="8">
        <v>6.08</v>
      </c>
      <c r="Q26" s="2" t="s">
        <v>94</v>
      </c>
      <c r="R26" s="75"/>
    </row>
    <row r="27" spans="1:18" x14ac:dyDescent="0.3">
      <c r="A27" s="2">
        <v>21</v>
      </c>
      <c r="B27" s="2">
        <v>104887</v>
      </c>
      <c r="C27" s="2" t="s">
        <v>30</v>
      </c>
      <c r="D27" s="2" t="s">
        <v>68</v>
      </c>
      <c r="E27" s="2" t="s">
        <v>36</v>
      </c>
      <c r="F27" s="2">
        <v>720</v>
      </c>
      <c r="G27" s="8">
        <v>4.59</v>
      </c>
      <c r="H27" s="8">
        <v>95.41</v>
      </c>
      <c r="I27" s="8">
        <v>59.98</v>
      </c>
      <c r="J27" s="8">
        <v>3.2614700000000001</v>
      </c>
      <c r="K27" s="8">
        <v>4.9379999999999997</v>
      </c>
      <c r="L27" s="8">
        <v>0</v>
      </c>
      <c r="M27" s="8">
        <v>5.2999999999999999E-2</v>
      </c>
      <c r="N27" s="8">
        <v>8.7749999999999995E-2</v>
      </c>
      <c r="O27" s="8">
        <v>0.246</v>
      </c>
      <c r="P27" s="8">
        <v>5.41</v>
      </c>
      <c r="Q27" s="2" t="s">
        <v>94</v>
      </c>
      <c r="R27" s="75"/>
    </row>
    <row r="28" spans="1:18" x14ac:dyDescent="0.3">
      <c r="A28" s="2">
        <v>22</v>
      </c>
      <c r="B28" s="2">
        <v>106649</v>
      </c>
      <c r="C28" s="2" t="s">
        <v>30</v>
      </c>
      <c r="D28" s="2" t="s">
        <v>31</v>
      </c>
      <c r="E28" s="2" t="s">
        <v>32</v>
      </c>
      <c r="F28" s="2">
        <v>200</v>
      </c>
      <c r="G28" s="8">
        <v>4.5199999999999996</v>
      </c>
      <c r="H28" s="8">
        <v>4.79</v>
      </c>
      <c r="I28" s="8">
        <v>63.09</v>
      </c>
      <c r="J28" s="8">
        <v>2.3571399999999998</v>
      </c>
      <c r="K28" s="8">
        <v>3.08</v>
      </c>
      <c r="L28" s="8">
        <v>0</v>
      </c>
      <c r="M28" s="8">
        <v>1.9E-2</v>
      </c>
      <c r="N28" s="8">
        <v>6.019E-2</v>
      </c>
      <c r="O28" s="8">
        <v>6.7000000000000004E-2</v>
      </c>
      <c r="P28" s="8">
        <v>4.05</v>
      </c>
      <c r="Q28" s="2" t="s">
        <v>102</v>
      </c>
      <c r="R28" s="75"/>
    </row>
    <row r="29" spans="1:18" x14ac:dyDescent="0.3">
      <c r="A29" s="2">
        <v>23</v>
      </c>
      <c r="B29" s="2">
        <v>106648</v>
      </c>
      <c r="C29" s="2" t="s">
        <v>30</v>
      </c>
      <c r="D29" s="2" t="s">
        <v>31</v>
      </c>
      <c r="E29" s="2" t="s">
        <v>36</v>
      </c>
      <c r="F29" s="2">
        <v>800</v>
      </c>
      <c r="G29" s="8">
        <v>4.5999999999999996</v>
      </c>
      <c r="H29" s="8">
        <v>95.4</v>
      </c>
      <c r="I29" s="8">
        <v>62.51</v>
      </c>
      <c r="J29" s="8">
        <v>4.0357900000000004</v>
      </c>
      <c r="K29" s="8">
        <v>2.89</v>
      </c>
      <c r="L29" s="8">
        <v>0</v>
      </c>
      <c r="M29" s="8">
        <v>5.2999999999999999E-2</v>
      </c>
      <c r="N29" s="8">
        <v>4.8919999999999998E-2</v>
      </c>
      <c r="O29" s="8">
        <v>2.4E-2</v>
      </c>
      <c r="P29" s="8">
        <v>3.36</v>
      </c>
      <c r="Q29" s="2" t="s">
        <v>102</v>
      </c>
      <c r="R29" s="75"/>
    </row>
    <row r="30" spans="1:18" x14ac:dyDescent="0.3">
      <c r="A30" s="2">
        <v>24</v>
      </c>
      <c r="B30" s="2">
        <v>104883</v>
      </c>
      <c r="C30" s="2" t="s">
        <v>30</v>
      </c>
      <c r="D30" s="2" t="s">
        <v>59</v>
      </c>
      <c r="E30" s="2" t="s">
        <v>32</v>
      </c>
      <c r="F30" s="2">
        <v>300</v>
      </c>
      <c r="G30" s="8">
        <v>4.54</v>
      </c>
      <c r="H30" s="8">
        <v>4.79</v>
      </c>
      <c r="I30" s="8">
        <v>62.5</v>
      </c>
      <c r="J30" s="8">
        <v>1.8590599999999999</v>
      </c>
      <c r="K30" s="8">
        <v>3.4350000000000001</v>
      </c>
      <c r="L30" s="8">
        <v>0</v>
      </c>
      <c r="M30" s="8">
        <v>2.1000000000000001E-2</v>
      </c>
      <c r="N30" s="8">
        <v>7.8070000000000001E-2</v>
      </c>
      <c r="O30" s="8">
        <v>4.3999999999999997E-2</v>
      </c>
      <c r="P30" s="8">
        <v>5.0199999999999996</v>
      </c>
      <c r="Q30" s="2" t="s">
        <v>110</v>
      </c>
      <c r="R30" s="75"/>
    </row>
    <row r="31" spans="1:18" x14ac:dyDescent="0.3">
      <c r="A31" s="2">
        <v>25</v>
      </c>
      <c r="B31" s="2">
        <v>104882</v>
      </c>
      <c r="C31" s="2" t="s">
        <v>30</v>
      </c>
      <c r="D31" s="2" t="s">
        <v>59</v>
      </c>
      <c r="E31" s="2" t="s">
        <v>36</v>
      </c>
      <c r="F31" s="2">
        <v>1200</v>
      </c>
      <c r="G31" s="8">
        <v>4.67</v>
      </c>
      <c r="H31" s="8">
        <v>95.33</v>
      </c>
      <c r="I31" s="8">
        <v>59.19</v>
      </c>
      <c r="J31" s="8">
        <v>3.3386499999999999</v>
      </c>
      <c r="K31" s="8">
        <v>5.25</v>
      </c>
      <c r="L31" s="8">
        <v>0</v>
      </c>
      <c r="M31" s="8">
        <v>5.6000000000000001E-2</v>
      </c>
      <c r="N31" s="8">
        <v>9.3679999999999999E-2</v>
      </c>
      <c r="O31" s="8">
        <v>4.8000000000000001E-2</v>
      </c>
      <c r="P31" s="8">
        <v>6.33</v>
      </c>
      <c r="Q31" s="2" t="s">
        <v>110</v>
      </c>
      <c r="R31" s="75"/>
    </row>
    <row r="32" spans="1:18" x14ac:dyDescent="0.3">
      <c r="A32" s="2">
        <v>26</v>
      </c>
      <c r="B32" s="2">
        <v>104881</v>
      </c>
      <c r="C32" s="2" t="s">
        <v>30</v>
      </c>
      <c r="D32" s="2" t="s">
        <v>31</v>
      </c>
      <c r="E32" s="2" t="s">
        <v>32</v>
      </c>
      <c r="F32" s="2">
        <v>200</v>
      </c>
      <c r="G32" s="8">
        <v>4.5</v>
      </c>
      <c r="H32" s="8">
        <v>4.75</v>
      </c>
      <c r="I32" s="8">
        <v>63.53</v>
      </c>
      <c r="J32" s="8">
        <v>1.9568700000000001</v>
      </c>
      <c r="K32" s="8">
        <v>2.3940000000000001</v>
      </c>
      <c r="L32" s="8">
        <v>0</v>
      </c>
      <c r="M32" s="8">
        <v>5.7000000000000002E-2</v>
      </c>
      <c r="N32" s="8">
        <v>9.4509999999999997E-2</v>
      </c>
      <c r="O32" s="8">
        <v>1E-3</v>
      </c>
      <c r="P32" s="8">
        <v>4.4800000000000004</v>
      </c>
      <c r="Q32" s="2" t="s">
        <v>118</v>
      </c>
      <c r="R32" s="75"/>
    </row>
    <row r="33" spans="1:18" x14ac:dyDescent="0.3">
      <c r="A33" s="2">
        <v>27</v>
      </c>
      <c r="B33" s="2">
        <v>104880</v>
      </c>
      <c r="C33" s="2" t="s">
        <v>30</v>
      </c>
      <c r="D33" s="2" t="s">
        <v>31</v>
      </c>
      <c r="E33" s="2" t="s">
        <v>36</v>
      </c>
      <c r="F33" s="2">
        <v>800</v>
      </c>
      <c r="G33" s="8">
        <v>4.8600000000000003</v>
      </c>
      <c r="H33" s="8">
        <v>95.14</v>
      </c>
      <c r="I33" s="8">
        <v>62.15</v>
      </c>
      <c r="J33" s="8">
        <v>2.6670400000000001</v>
      </c>
      <c r="K33" s="8">
        <v>3.3759999999999999</v>
      </c>
      <c r="L33" s="8">
        <v>0</v>
      </c>
      <c r="M33" s="8">
        <v>7.0999999999999994E-2</v>
      </c>
      <c r="N33" s="8">
        <v>0.1045</v>
      </c>
      <c r="O33" s="8">
        <v>2E-3</v>
      </c>
      <c r="P33" s="8">
        <v>4.72</v>
      </c>
      <c r="Q33" s="2" t="s">
        <v>118</v>
      </c>
      <c r="R33" s="75"/>
    </row>
    <row r="34" spans="1:18" x14ac:dyDescent="0.3">
      <c r="A34" s="2">
        <v>28</v>
      </c>
      <c r="B34" s="2">
        <v>104879</v>
      </c>
      <c r="C34" s="2" t="s">
        <v>30</v>
      </c>
      <c r="D34" s="2" t="s">
        <v>31</v>
      </c>
      <c r="E34" s="2" t="s">
        <v>32</v>
      </c>
      <c r="F34" s="2">
        <v>160</v>
      </c>
      <c r="G34" s="8">
        <v>4.5599999999999996</v>
      </c>
      <c r="H34" s="8">
        <v>4.74</v>
      </c>
      <c r="I34" s="8">
        <v>63.54</v>
      </c>
      <c r="J34" s="8">
        <v>2.0718100000000002</v>
      </c>
      <c r="K34" s="8">
        <v>2.585</v>
      </c>
      <c r="L34" s="8">
        <v>0</v>
      </c>
      <c r="M34" s="8">
        <v>4.3999999999999997E-2</v>
      </c>
      <c r="N34" s="8">
        <v>7.016E-2</v>
      </c>
      <c r="O34" s="8">
        <v>6.0000000000000001E-3</v>
      </c>
      <c r="P34" s="8">
        <v>4.21</v>
      </c>
      <c r="Q34" s="2" t="s">
        <v>126</v>
      </c>
      <c r="R34" s="75"/>
    </row>
    <row r="35" spans="1:18" x14ac:dyDescent="0.3">
      <c r="A35" s="2">
        <v>29</v>
      </c>
      <c r="B35" s="2">
        <v>104878</v>
      </c>
      <c r="C35" s="2" t="s">
        <v>30</v>
      </c>
      <c r="D35" s="2" t="s">
        <v>31</v>
      </c>
      <c r="E35" s="2" t="s">
        <v>36</v>
      </c>
      <c r="F35" s="2">
        <v>640</v>
      </c>
      <c r="G35" s="8">
        <v>4.78</v>
      </c>
      <c r="H35" s="8">
        <v>95.22</v>
      </c>
      <c r="I35" s="8">
        <v>61.55</v>
      </c>
      <c r="J35" s="8">
        <v>4.3456999999999999</v>
      </c>
      <c r="K35" s="8">
        <v>3.1360000000000001</v>
      </c>
      <c r="L35" s="8">
        <v>0</v>
      </c>
      <c r="M35" s="8">
        <v>6.6000000000000003E-2</v>
      </c>
      <c r="N35" s="8">
        <v>7.1910000000000002E-2</v>
      </c>
      <c r="O35" s="8">
        <v>1.9E-2</v>
      </c>
      <c r="P35" s="8">
        <v>4.13</v>
      </c>
      <c r="Q35" s="2" t="s">
        <v>126</v>
      </c>
      <c r="R35" s="75"/>
    </row>
    <row r="36" spans="1:18" x14ac:dyDescent="0.3">
      <c r="A36" s="2">
        <v>30</v>
      </c>
      <c r="B36" s="2">
        <v>104873</v>
      </c>
      <c r="C36" s="2" t="s">
        <v>30</v>
      </c>
      <c r="D36" s="2" t="s">
        <v>31</v>
      </c>
      <c r="E36" s="2" t="s">
        <v>32</v>
      </c>
      <c r="F36" s="2">
        <v>140</v>
      </c>
      <c r="G36" s="8">
        <v>4.67</v>
      </c>
      <c r="H36" s="8">
        <v>4.91</v>
      </c>
      <c r="I36" s="8">
        <v>66.349999999999994</v>
      </c>
      <c r="J36" s="8">
        <v>1.05274</v>
      </c>
      <c r="K36" s="8">
        <v>0.98799999999999999</v>
      </c>
      <c r="L36" s="8">
        <v>0</v>
      </c>
      <c r="M36" s="8">
        <v>1.2E-2</v>
      </c>
      <c r="N36" s="8">
        <v>5.8169999999999999E-2</v>
      </c>
      <c r="O36" s="8">
        <v>1.4999999999999999E-2</v>
      </c>
      <c r="P36" s="8">
        <v>2.88</v>
      </c>
      <c r="Q36" s="2" t="s">
        <v>134</v>
      </c>
      <c r="R36" s="75"/>
    </row>
    <row r="37" spans="1:18" x14ac:dyDescent="0.3">
      <c r="A37" s="2">
        <v>31</v>
      </c>
      <c r="B37" s="2">
        <v>104872</v>
      </c>
      <c r="C37" s="2" t="s">
        <v>30</v>
      </c>
      <c r="D37" s="2" t="s">
        <v>31</v>
      </c>
      <c r="E37" s="2" t="s">
        <v>36</v>
      </c>
      <c r="F37" s="2">
        <v>560</v>
      </c>
      <c r="G37" s="8">
        <v>4.78</v>
      </c>
      <c r="H37" s="8">
        <v>95.22</v>
      </c>
      <c r="I37" s="8">
        <v>62.16</v>
      </c>
      <c r="J37" s="8">
        <v>3.6175099999999998</v>
      </c>
      <c r="K37" s="8">
        <v>3.17</v>
      </c>
      <c r="L37" s="8">
        <v>0</v>
      </c>
      <c r="M37" s="8">
        <v>4.8000000000000001E-2</v>
      </c>
      <c r="N37" s="8">
        <v>6.4839999999999995E-2</v>
      </c>
      <c r="O37" s="8">
        <v>1.4E-2</v>
      </c>
      <c r="P37" s="8">
        <v>3.95</v>
      </c>
      <c r="Q37" s="2" t="s">
        <v>134</v>
      </c>
      <c r="R37" s="75"/>
    </row>
    <row r="38" spans="1:18" x14ac:dyDescent="0.3">
      <c r="A38" s="2">
        <v>32</v>
      </c>
      <c r="B38" s="2">
        <v>101020</v>
      </c>
      <c r="C38" s="2" t="s">
        <v>30</v>
      </c>
      <c r="D38" s="2" t="s">
        <v>68</v>
      </c>
      <c r="E38" s="2" t="s">
        <v>32</v>
      </c>
      <c r="F38" s="2">
        <v>160</v>
      </c>
      <c r="G38" s="8">
        <v>4.5199999999999996</v>
      </c>
      <c r="H38" s="8">
        <v>4.79</v>
      </c>
      <c r="I38" s="8">
        <v>62.92</v>
      </c>
      <c r="J38" s="8">
        <v>3.2099199999999999</v>
      </c>
      <c r="K38" s="8">
        <v>2.5880000000000001</v>
      </c>
      <c r="L38" s="8">
        <v>0</v>
      </c>
      <c r="M38" s="8">
        <v>2.7E-2</v>
      </c>
      <c r="N38" s="8">
        <v>4.6420000000000003E-2</v>
      </c>
      <c r="O38" s="8">
        <v>0.02</v>
      </c>
      <c r="P38" s="8">
        <v>3.85</v>
      </c>
      <c r="Q38" s="2" t="s">
        <v>142</v>
      </c>
      <c r="R38" s="75"/>
    </row>
    <row r="39" spans="1:18" x14ac:dyDescent="0.3">
      <c r="A39" s="2">
        <v>33</v>
      </c>
      <c r="B39" s="2">
        <v>101019</v>
      </c>
      <c r="C39" s="2" t="s">
        <v>30</v>
      </c>
      <c r="D39" s="2" t="s">
        <v>31</v>
      </c>
      <c r="E39" s="2" t="s">
        <v>36</v>
      </c>
      <c r="F39" s="2">
        <v>640</v>
      </c>
      <c r="G39" s="8">
        <v>4.5999999999999996</v>
      </c>
      <c r="H39" s="8">
        <v>95.4</v>
      </c>
      <c r="I39" s="8">
        <v>62.64</v>
      </c>
      <c r="J39" s="8">
        <v>3.4767600000000001</v>
      </c>
      <c r="K39" s="8">
        <v>2.887</v>
      </c>
      <c r="L39" s="8">
        <v>4.0000000000000001E-3</v>
      </c>
      <c r="M39" s="8">
        <v>4.8000000000000001E-2</v>
      </c>
      <c r="N39" s="8">
        <v>6.3420000000000004E-2</v>
      </c>
      <c r="O39" s="8">
        <v>1.2E-2</v>
      </c>
      <c r="P39" s="8">
        <v>3.67</v>
      </c>
      <c r="Q39" s="2" t="s">
        <v>142</v>
      </c>
      <c r="R39" s="75"/>
    </row>
    <row r="40" spans="1:18" x14ac:dyDescent="0.3">
      <c r="A40" s="2">
        <v>34</v>
      </c>
      <c r="B40" s="2">
        <v>101018</v>
      </c>
      <c r="C40" s="2" t="s">
        <v>30</v>
      </c>
      <c r="D40" s="2" t="s">
        <v>31</v>
      </c>
      <c r="E40" s="2" t="s">
        <v>32</v>
      </c>
      <c r="F40" s="2">
        <v>160</v>
      </c>
      <c r="G40" s="8">
        <v>4.71</v>
      </c>
      <c r="H40" s="8">
        <v>4.9000000000000004</v>
      </c>
      <c r="I40" s="8">
        <v>61.59</v>
      </c>
      <c r="J40" s="8">
        <v>2.7711600000000001</v>
      </c>
      <c r="K40" s="8">
        <v>3.4209999999999998</v>
      </c>
      <c r="L40" s="8">
        <v>0</v>
      </c>
      <c r="M40" s="8">
        <v>1.7999999999999999E-2</v>
      </c>
      <c r="N40" s="8">
        <v>9.0060000000000001E-2</v>
      </c>
      <c r="O40" s="8">
        <v>1.9E-2</v>
      </c>
      <c r="P40" s="8">
        <v>5.43</v>
      </c>
      <c r="Q40" s="2" t="s">
        <v>150</v>
      </c>
      <c r="R40" s="75"/>
    </row>
    <row r="41" spans="1:18" x14ac:dyDescent="0.3">
      <c r="A41" s="2">
        <v>35</v>
      </c>
      <c r="B41" s="2">
        <v>101017</v>
      </c>
      <c r="C41" s="2" t="s">
        <v>30</v>
      </c>
      <c r="D41" s="2" t="s">
        <v>31</v>
      </c>
      <c r="E41" s="2" t="s">
        <v>154</v>
      </c>
      <c r="F41" s="2">
        <v>640</v>
      </c>
      <c r="G41" s="8">
        <v>4.7300000000000004</v>
      </c>
      <c r="H41" s="8">
        <v>95.27</v>
      </c>
      <c r="I41" s="8">
        <v>57.63</v>
      </c>
      <c r="J41" s="8">
        <v>5.7769500000000003</v>
      </c>
      <c r="K41" s="8">
        <v>5.2729999999999997</v>
      </c>
      <c r="L41" s="8">
        <v>0</v>
      </c>
      <c r="M41" s="8">
        <v>6.6000000000000003E-2</v>
      </c>
      <c r="N41" s="8">
        <v>8.4260000000000002E-2</v>
      </c>
      <c r="O41" s="8">
        <v>6.5000000000000002E-2</v>
      </c>
      <c r="P41" s="8">
        <v>6.1</v>
      </c>
      <c r="Q41" s="2" t="s">
        <v>155</v>
      </c>
      <c r="R41" s="75"/>
    </row>
    <row r="42" spans="1:18" x14ac:dyDescent="0.3">
      <c r="A42" s="2">
        <v>36</v>
      </c>
      <c r="B42" s="2">
        <v>101016</v>
      </c>
      <c r="C42" s="2" t="s">
        <v>30</v>
      </c>
      <c r="D42" s="2" t="s">
        <v>160</v>
      </c>
      <c r="E42" s="2" t="s">
        <v>32</v>
      </c>
      <c r="F42" s="2">
        <v>200</v>
      </c>
      <c r="G42" s="8">
        <v>4.71</v>
      </c>
      <c r="H42" s="8">
        <v>4.9000000000000004</v>
      </c>
      <c r="I42" s="8">
        <v>64.89</v>
      </c>
      <c r="J42" s="8">
        <v>1.2928200000000001</v>
      </c>
      <c r="K42" s="8">
        <v>1.486</v>
      </c>
      <c r="L42" s="8">
        <v>0</v>
      </c>
      <c r="M42" s="8">
        <v>1.4999999999999999E-2</v>
      </c>
      <c r="N42" s="8">
        <v>8.6279999999999996E-2</v>
      </c>
      <c r="O42" s="8">
        <v>2.8000000000000001E-2</v>
      </c>
      <c r="P42" s="8">
        <v>4.1399999999999997</v>
      </c>
      <c r="Q42" s="2" t="s">
        <v>161</v>
      </c>
      <c r="R42" s="75"/>
    </row>
    <row r="43" spans="1:18" x14ac:dyDescent="0.3">
      <c r="A43" s="2">
        <v>37</v>
      </c>
      <c r="B43" s="2">
        <v>101015</v>
      </c>
      <c r="C43" s="2" t="s">
        <v>30</v>
      </c>
      <c r="D43" s="2" t="s">
        <v>68</v>
      </c>
      <c r="E43" s="2" t="s">
        <v>36</v>
      </c>
      <c r="F43" s="2">
        <v>800</v>
      </c>
      <c r="G43" s="8">
        <v>4.72</v>
      </c>
      <c r="H43" s="8">
        <v>95.28</v>
      </c>
      <c r="I43" s="8">
        <v>63.55</v>
      </c>
      <c r="J43" s="8">
        <v>1.80169</v>
      </c>
      <c r="K43" s="8">
        <v>2.2730000000000001</v>
      </c>
      <c r="L43" s="8">
        <v>0</v>
      </c>
      <c r="M43" s="8">
        <v>2.5999999999999999E-2</v>
      </c>
      <c r="N43" s="8">
        <v>0.1106</v>
      </c>
      <c r="O43" s="8">
        <v>8.9999999999999993E-3</v>
      </c>
      <c r="P43" s="8">
        <v>4.67</v>
      </c>
      <c r="Q43" s="2" t="s">
        <v>161</v>
      </c>
      <c r="R43" s="75"/>
    </row>
    <row r="44" spans="1:18" x14ac:dyDescent="0.3">
      <c r="A44" s="2">
        <v>38</v>
      </c>
      <c r="B44" s="2">
        <v>101010</v>
      </c>
      <c r="C44" s="2" t="s">
        <v>30</v>
      </c>
      <c r="D44" s="2" t="s">
        <v>169</v>
      </c>
      <c r="E44" s="2" t="s">
        <v>36</v>
      </c>
      <c r="F44" s="2">
        <v>800</v>
      </c>
      <c r="G44" s="8">
        <v>4.7300000000000004</v>
      </c>
      <c r="H44" s="8">
        <v>95.27</v>
      </c>
      <c r="I44" s="8">
        <v>61.07</v>
      </c>
      <c r="J44" s="8">
        <v>3.7012</v>
      </c>
      <c r="K44" s="8">
        <v>3.9630000000000001</v>
      </c>
      <c r="L44" s="8">
        <v>0</v>
      </c>
      <c r="M44" s="8">
        <v>4.8000000000000001E-2</v>
      </c>
      <c r="N44" s="8">
        <v>5.987E-2</v>
      </c>
      <c r="O44" s="8">
        <v>0.02</v>
      </c>
      <c r="P44" s="8">
        <v>4.71</v>
      </c>
      <c r="Q44" s="2" t="s">
        <v>170</v>
      </c>
      <c r="R44" s="75"/>
    </row>
    <row r="45" spans="1:18" x14ac:dyDescent="0.3">
      <c r="A45" s="2">
        <v>39</v>
      </c>
      <c r="B45" s="2">
        <v>101009</v>
      </c>
      <c r="C45" s="2" t="s">
        <v>30</v>
      </c>
      <c r="D45" s="2" t="s">
        <v>169</v>
      </c>
      <c r="E45" s="2" t="s">
        <v>32</v>
      </c>
      <c r="F45" s="2">
        <v>200</v>
      </c>
      <c r="G45" s="8">
        <v>4.5199999999999996</v>
      </c>
      <c r="H45" s="8">
        <v>4.7300000000000004</v>
      </c>
      <c r="I45" s="8">
        <v>62.86</v>
      </c>
      <c r="J45" s="8">
        <v>2.9698500000000001</v>
      </c>
      <c r="K45" s="8">
        <v>2.6</v>
      </c>
      <c r="L45" s="8">
        <v>0</v>
      </c>
      <c r="M45" s="8">
        <v>2.9000000000000001E-2</v>
      </c>
      <c r="N45" s="8">
        <v>4.5179999999999998E-2</v>
      </c>
      <c r="O45" s="8">
        <v>1.4999999999999999E-2</v>
      </c>
      <c r="P45" s="8">
        <v>4.1500000000000004</v>
      </c>
      <c r="Q45" s="2" t="s">
        <v>170</v>
      </c>
      <c r="R45" s="75"/>
    </row>
  </sheetData>
  <autoFilter ref="A6:R45" xr:uid="{00000000-0001-0000-0000-000000000000}"/>
  <mergeCells count="11">
    <mergeCell ref="A4:A6"/>
    <mergeCell ref="C4:C6"/>
    <mergeCell ref="D4:D6"/>
    <mergeCell ref="E4:E6"/>
    <mergeCell ref="A1:Q1"/>
    <mergeCell ref="G4:H4"/>
    <mergeCell ref="I4:P4"/>
    <mergeCell ref="Q4:Q6"/>
    <mergeCell ref="F4:F6"/>
    <mergeCell ref="R9:R45"/>
    <mergeCell ref="R4:R6"/>
  </mergeCells>
  <conditionalFormatting sqref="I7:I4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D24"/>
  <sheetViews>
    <sheetView topLeftCell="E3" workbookViewId="0">
      <selection activeCell="G23" sqref="G23:Q23"/>
    </sheetView>
  </sheetViews>
  <sheetFormatPr defaultRowHeight="14.4" x14ac:dyDescent="0.3"/>
  <cols>
    <col min="1" max="1" width="2.77734375" bestFit="1" customWidth="1"/>
    <col min="2" max="3" width="19" bestFit="1" customWidth="1"/>
    <col min="4" max="4" width="14.88671875" bestFit="1" customWidth="1"/>
    <col min="5" max="6" width="10.109375" bestFit="1" customWidth="1"/>
    <col min="7" max="7" width="6.88671875" hidden="1" customWidth="1"/>
    <col min="8" max="9" width="17.77734375" hidden="1" customWidth="1"/>
    <col min="10" max="10" width="6.88671875" hidden="1" customWidth="1"/>
    <col min="11" max="11" width="17.77734375" hidden="1" customWidth="1"/>
    <col min="12" max="12" width="6.88671875" hidden="1" customWidth="1"/>
    <col min="13" max="13" width="14.88671875" bestFit="1" customWidth="1"/>
    <col min="14" max="14" width="5.21875" customWidth="1"/>
    <col min="15" max="15" width="12.109375" bestFit="1" customWidth="1"/>
    <col min="16" max="16" width="11.109375" bestFit="1" customWidth="1"/>
    <col min="17" max="17" width="13.77734375" customWidth="1"/>
    <col min="18" max="18" width="7.21875" customWidth="1"/>
    <col min="19" max="19" width="4.77734375" bestFit="1" customWidth="1"/>
    <col min="20" max="20" width="5.77734375" bestFit="1" customWidth="1"/>
    <col min="21" max="22" width="7.77734375" bestFit="1" customWidth="1"/>
    <col min="23" max="25" width="5.77734375" bestFit="1" customWidth="1"/>
    <col min="26" max="26" width="7.77734375" bestFit="1" customWidth="1"/>
    <col min="27" max="27" width="5.77734375" bestFit="1" customWidth="1"/>
    <col min="28" max="28" width="4.77734375" bestFit="1" customWidth="1"/>
    <col min="29" max="29" width="21.6640625" bestFit="1" customWidth="1"/>
  </cols>
  <sheetData>
    <row r="2" spans="1:30" s="2" customFormat="1" x14ac:dyDescent="0.3">
      <c r="A2" s="73" t="s">
        <v>1</v>
      </c>
      <c r="B2" s="73" t="s">
        <v>2</v>
      </c>
      <c r="C2" s="73" t="s">
        <v>3</v>
      </c>
      <c r="D2" s="73" t="s">
        <v>4</v>
      </c>
      <c r="E2" s="73" t="s">
        <v>5</v>
      </c>
      <c r="F2" s="73" t="s">
        <v>6</v>
      </c>
      <c r="G2" s="1"/>
      <c r="H2" s="1"/>
      <c r="I2" s="1"/>
      <c r="J2" s="1"/>
      <c r="K2" s="1"/>
      <c r="L2" s="1"/>
      <c r="M2" s="1"/>
      <c r="N2" s="73" t="s">
        <v>7</v>
      </c>
      <c r="O2" s="73" t="s">
        <v>8</v>
      </c>
      <c r="P2" s="73" t="s">
        <v>9</v>
      </c>
      <c r="Q2" s="73" t="s">
        <v>10</v>
      </c>
      <c r="R2" s="73" t="s">
        <v>11</v>
      </c>
      <c r="S2" s="73" t="s">
        <v>12</v>
      </c>
      <c r="T2" s="74"/>
      <c r="U2" s="73" t="s">
        <v>15</v>
      </c>
      <c r="V2" s="74"/>
      <c r="W2" s="74"/>
      <c r="X2" s="74"/>
      <c r="Y2" s="74"/>
      <c r="Z2" s="74"/>
      <c r="AA2" s="74"/>
      <c r="AB2" s="74"/>
      <c r="AC2" s="73" t="s">
        <v>24</v>
      </c>
      <c r="AD2" s="73" t="s">
        <v>25</v>
      </c>
    </row>
    <row r="3" spans="1:30" s="2" customFormat="1" x14ac:dyDescent="0.3">
      <c r="A3" s="74"/>
      <c r="B3" s="74"/>
      <c r="C3" s="74"/>
      <c r="D3" s="74"/>
      <c r="E3" s="74"/>
      <c r="F3" s="74"/>
      <c r="G3" s="77" t="s">
        <v>383</v>
      </c>
      <c r="H3" s="77" t="s">
        <v>384</v>
      </c>
      <c r="I3" s="77" t="s">
        <v>385</v>
      </c>
      <c r="J3" s="77" t="s">
        <v>386</v>
      </c>
      <c r="K3" s="77" t="s">
        <v>387</v>
      </c>
      <c r="L3" s="77" t="s">
        <v>388</v>
      </c>
      <c r="M3" s="77" t="s">
        <v>389</v>
      </c>
      <c r="N3" s="74"/>
      <c r="O3" s="74"/>
      <c r="P3" s="74"/>
      <c r="Q3" s="74"/>
      <c r="R3" s="74"/>
      <c r="AC3" s="74"/>
      <c r="AD3" s="74"/>
    </row>
    <row r="4" spans="1:30" s="2" customFormat="1" ht="28.8" x14ac:dyDescent="0.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1" t="s">
        <v>13</v>
      </c>
      <c r="T4" s="1" t="s">
        <v>14</v>
      </c>
      <c r="U4" s="1" t="s">
        <v>16</v>
      </c>
      <c r="V4" s="1" t="s">
        <v>17</v>
      </c>
      <c r="W4" s="1" t="s">
        <v>18</v>
      </c>
      <c r="X4" s="1" t="s">
        <v>19</v>
      </c>
      <c r="Y4" s="1" t="s">
        <v>20</v>
      </c>
      <c r="Z4" s="1" t="s">
        <v>21</v>
      </c>
      <c r="AA4" s="1" t="s">
        <v>22</v>
      </c>
      <c r="AB4" s="1" t="s">
        <v>23</v>
      </c>
      <c r="AC4" s="74"/>
      <c r="AD4" s="74"/>
    </row>
    <row r="5" spans="1:30" x14ac:dyDescent="0.3">
      <c r="A5" s="2">
        <v>2</v>
      </c>
      <c r="B5" s="2" t="s">
        <v>402</v>
      </c>
      <c r="C5" s="2" t="s">
        <v>403</v>
      </c>
      <c r="D5" s="2" t="s">
        <v>404</v>
      </c>
      <c r="E5" s="5">
        <v>45870</v>
      </c>
      <c r="F5" s="4">
        <v>45869</v>
      </c>
      <c r="G5" s="2" t="s">
        <v>405</v>
      </c>
      <c r="H5" s="2" t="s">
        <v>406</v>
      </c>
      <c r="I5" s="2" t="s">
        <v>407</v>
      </c>
      <c r="J5" s="2" t="s">
        <v>408</v>
      </c>
      <c r="K5" s="2" t="s">
        <v>409</v>
      </c>
      <c r="L5" s="2" t="s">
        <v>410</v>
      </c>
      <c r="M5" s="6">
        <v>0.31307870370622604</v>
      </c>
      <c r="N5" s="2" t="s">
        <v>30</v>
      </c>
      <c r="O5" s="2" t="s">
        <v>31</v>
      </c>
      <c r="P5" s="2" t="s">
        <v>36</v>
      </c>
      <c r="Q5" s="2">
        <v>800</v>
      </c>
      <c r="R5" s="2">
        <v>800</v>
      </c>
      <c r="S5" s="3">
        <v>4.87</v>
      </c>
      <c r="T5" s="3">
        <v>95.13</v>
      </c>
      <c r="U5" s="3">
        <v>63.89</v>
      </c>
      <c r="V5" s="3">
        <v>1.8470200000000001</v>
      </c>
      <c r="W5" s="3">
        <v>2.3490000000000002</v>
      </c>
      <c r="X5" s="3">
        <v>0</v>
      </c>
      <c r="Y5" s="3">
        <v>1.7000000000000001E-2</v>
      </c>
      <c r="Z5" s="3">
        <v>0.1116</v>
      </c>
      <c r="AA5" s="3">
        <v>4.0000000000000001E-3</v>
      </c>
      <c r="AB5" s="3">
        <v>4.1100000000000003</v>
      </c>
      <c r="AC5" s="2" t="s">
        <v>411</v>
      </c>
    </row>
    <row r="6" spans="1:30" x14ac:dyDescent="0.3">
      <c r="A6" s="2">
        <v>4</v>
      </c>
      <c r="B6" s="2" t="s">
        <v>422</v>
      </c>
      <c r="C6" s="2" t="s">
        <v>423</v>
      </c>
      <c r="D6" s="2" t="s">
        <v>424</v>
      </c>
      <c r="E6" s="4">
        <v>45869</v>
      </c>
      <c r="F6" s="2" t="s">
        <v>29</v>
      </c>
      <c r="G6" s="2" t="s">
        <v>425</v>
      </c>
      <c r="H6" s="2" t="s">
        <v>426</v>
      </c>
      <c r="I6" s="2" t="s">
        <v>427</v>
      </c>
      <c r="J6" s="2" t="s">
        <v>428</v>
      </c>
      <c r="K6" s="2" t="s">
        <v>429</v>
      </c>
      <c r="L6" s="2" t="s">
        <v>430</v>
      </c>
      <c r="M6" s="6">
        <v>0.3315509259279309</v>
      </c>
      <c r="N6" s="2" t="s">
        <v>30</v>
      </c>
      <c r="O6" s="2" t="s">
        <v>31</v>
      </c>
      <c r="P6" s="2" t="s">
        <v>36</v>
      </c>
      <c r="Q6" s="2">
        <v>560</v>
      </c>
      <c r="R6" s="2">
        <v>560</v>
      </c>
      <c r="S6" s="3">
        <v>4.9800000000000004</v>
      </c>
      <c r="T6" s="3">
        <v>95.02</v>
      </c>
      <c r="U6" s="3">
        <v>61.51</v>
      </c>
      <c r="V6" s="3">
        <v>3.1471900000000002</v>
      </c>
      <c r="W6" s="3">
        <v>4.32</v>
      </c>
      <c r="X6" s="3">
        <v>0</v>
      </c>
      <c r="Y6" s="3">
        <v>4.7E-2</v>
      </c>
      <c r="Z6" s="3">
        <v>6.6919999999999993E-2</v>
      </c>
      <c r="AA6" s="3">
        <v>3.2000000000000001E-2</v>
      </c>
      <c r="AB6" s="3">
        <v>4.29</v>
      </c>
      <c r="AC6" s="2" t="s">
        <v>421</v>
      </c>
    </row>
    <row r="7" spans="1:30" x14ac:dyDescent="0.3">
      <c r="A7" s="2">
        <v>6</v>
      </c>
      <c r="B7" s="2" t="s">
        <v>391</v>
      </c>
      <c r="C7" s="2" t="s">
        <v>34</v>
      </c>
      <c r="D7" s="2" t="s">
        <v>35</v>
      </c>
      <c r="E7" s="2" t="s">
        <v>29</v>
      </c>
      <c r="F7" s="2" t="s">
        <v>29</v>
      </c>
      <c r="G7" s="2" t="s">
        <v>180</v>
      </c>
      <c r="H7" s="2" t="s">
        <v>181</v>
      </c>
      <c r="I7" s="2" t="s">
        <v>182</v>
      </c>
      <c r="J7" s="2" t="s">
        <v>183</v>
      </c>
      <c r="K7" s="2" t="s">
        <v>184</v>
      </c>
      <c r="L7" s="2" t="s">
        <v>185</v>
      </c>
      <c r="M7" s="6">
        <v>0.4643634259204501</v>
      </c>
      <c r="N7" s="2" t="s">
        <v>30</v>
      </c>
      <c r="O7" s="2" t="s">
        <v>31</v>
      </c>
      <c r="P7" s="2" t="s">
        <v>36</v>
      </c>
      <c r="Q7" s="2">
        <v>385</v>
      </c>
      <c r="R7" s="2">
        <v>385</v>
      </c>
      <c r="S7" s="3">
        <v>4.78</v>
      </c>
      <c r="T7" s="3">
        <v>95.22</v>
      </c>
      <c r="U7" s="3">
        <v>59.12</v>
      </c>
      <c r="V7" s="3">
        <v>3.7402700000000002</v>
      </c>
      <c r="W7" s="3">
        <v>5.7990000000000004</v>
      </c>
      <c r="X7" s="3">
        <v>0</v>
      </c>
      <c r="Y7" s="3">
        <v>6.4000000000000001E-2</v>
      </c>
      <c r="Z7" s="3">
        <v>7.4759999999999993E-2</v>
      </c>
      <c r="AA7" s="3">
        <v>4.4999999999999998E-2</v>
      </c>
      <c r="AB7" s="3">
        <v>5.54</v>
      </c>
      <c r="AC7" s="2" t="s">
        <v>33</v>
      </c>
    </row>
    <row r="8" spans="1:30" x14ac:dyDescent="0.3">
      <c r="A8" s="2">
        <v>13</v>
      </c>
      <c r="B8" s="2" t="s">
        <v>61</v>
      </c>
      <c r="C8" s="2" t="s">
        <v>62</v>
      </c>
      <c r="D8" s="2" t="s">
        <v>63</v>
      </c>
      <c r="E8" s="2" t="s">
        <v>58</v>
      </c>
      <c r="F8" s="2" t="s">
        <v>58</v>
      </c>
      <c r="G8" s="2" t="s">
        <v>222</v>
      </c>
      <c r="H8" s="2" t="s">
        <v>223</v>
      </c>
      <c r="I8" s="2" t="s">
        <v>224</v>
      </c>
      <c r="J8" s="2" t="s">
        <v>225</v>
      </c>
      <c r="K8" s="2" t="s">
        <v>226</v>
      </c>
      <c r="L8" s="2" t="s">
        <v>227</v>
      </c>
      <c r="M8" s="6">
        <v>0.91244212962960802</v>
      </c>
      <c r="N8" s="2" t="s">
        <v>30</v>
      </c>
      <c r="O8" s="2" t="s">
        <v>31</v>
      </c>
      <c r="P8" s="2" t="s">
        <v>36</v>
      </c>
      <c r="Q8" s="2">
        <v>800</v>
      </c>
      <c r="R8" s="2">
        <v>800</v>
      </c>
      <c r="S8" s="3">
        <v>4.7300000000000004</v>
      </c>
      <c r="T8" s="3">
        <v>95.27</v>
      </c>
      <c r="U8" s="3">
        <v>62.83</v>
      </c>
      <c r="V8" s="3">
        <v>3.46705</v>
      </c>
      <c r="W8" s="3">
        <v>2.6549999999999998</v>
      </c>
      <c r="X8" s="3">
        <v>0</v>
      </c>
      <c r="Y8" s="3">
        <v>5.7000000000000002E-2</v>
      </c>
      <c r="Z8" s="3">
        <v>4.6969999999999998E-2</v>
      </c>
      <c r="AA8" s="3">
        <v>1.4E-2</v>
      </c>
      <c r="AB8" s="3">
        <v>3.78</v>
      </c>
      <c r="AC8" s="2" t="s">
        <v>60</v>
      </c>
    </row>
    <row r="9" spans="1:30" x14ac:dyDescent="0.3">
      <c r="A9" s="2">
        <v>17</v>
      </c>
      <c r="B9" s="2" t="s">
        <v>79</v>
      </c>
      <c r="C9" s="2" t="s">
        <v>80</v>
      </c>
      <c r="D9" s="2" t="s">
        <v>81</v>
      </c>
      <c r="E9" s="2" t="s">
        <v>77</v>
      </c>
      <c r="F9" s="2" t="s">
        <v>77</v>
      </c>
      <c r="G9" s="2" t="s">
        <v>246</v>
      </c>
      <c r="H9" s="2" t="s">
        <v>247</v>
      </c>
      <c r="I9" s="2" t="s">
        <v>248</v>
      </c>
      <c r="J9" s="2" t="s">
        <v>249</v>
      </c>
      <c r="K9" s="2" t="s">
        <v>250</v>
      </c>
      <c r="L9" s="2" t="s">
        <v>251</v>
      </c>
      <c r="M9" s="6">
        <v>1.0483680555529684</v>
      </c>
      <c r="N9" s="2" t="s">
        <v>30</v>
      </c>
      <c r="O9" s="2" t="s">
        <v>59</v>
      </c>
      <c r="P9" s="2" t="s">
        <v>36</v>
      </c>
      <c r="Q9" s="2">
        <v>800</v>
      </c>
      <c r="R9" s="2">
        <v>800</v>
      </c>
      <c r="S9" s="3">
        <v>4.84</v>
      </c>
      <c r="T9" s="3">
        <v>95.16</v>
      </c>
      <c r="U9" s="3">
        <v>62.53</v>
      </c>
      <c r="V9" s="3">
        <v>3.9046599999999998</v>
      </c>
      <c r="W9" s="3">
        <v>3.2040000000000002</v>
      </c>
      <c r="X9" s="3">
        <v>0</v>
      </c>
      <c r="Y9" s="3">
        <v>8.1000000000000003E-2</v>
      </c>
      <c r="Z9" s="3">
        <v>4.6629999999999998E-2</v>
      </c>
      <c r="AA9" s="3">
        <v>1.6E-2</v>
      </c>
      <c r="AB9" s="3">
        <v>3.18</v>
      </c>
      <c r="AC9" s="2" t="s">
        <v>78</v>
      </c>
    </row>
    <row r="10" spans="1:30" x14ac:dyDescent="0.3">
      <c r="A10" s="2">
        <v>19</v>
      </c>
      <c r="B10" s="2" t="s">
        <v>87</v>
      </c>
      <c r="C10" s="2" t="s">
        <v>88</v>
      </c>
      <c r="D10" s="2" t="s">
        <v>89</v>
      </c>
      <c r="E10" s="2" t="s">
        <v>85</v>
      </c>
      <c r="F10" s="2" t="s">
        <v>85</v>
      </c>
      <c r="G10" s="2" t="s">
        <v>258</v>
      </c>
      <c r="H10" s="2" t="s">
        <v>259</v>
      </c>
      <c r="I10" s="2" t="s">
        <v>260</v>
      </c>
      <c r="J10" s="2" t="s">
        <v>261</v>
      </c>
      <c r="K10" s="2" t="s">
        <v>262</v>
      </c>
      <c r="L10" s="2" t="s">
        <v>263</v>
      </c>
      <c r="M10" s="6">
        <v>0.26954861110865347</v>
      </c>
      <c r="N10" s="2" t="s">
        <v>30</v>
      </c>
      <c r="O10" s="2" t="s">
        <v>31</v>
      </c>
      <c r="P10" s="2" t="s">
        <v>36</v>
      </c>
      <c r="Q10" s="2">
        <v>800</v>
      </c>
      <c r="R10" s="2">
        <v>1000</v>
      </c>
      <c r="S10" s="3">
        <v>4.82</v>
      </c>
      <c r="T10" s="3">
        <v>95.18</v>
      </c>
      <c r="U10" s="3">
        <v>63.03</v>
      </c>
      <c r="V10" s="3">
        <v>2.9224899999999998</v>
      </c>
      <c r="W10" s="3">
        <v>2.976</v>
      </c>
      <c r="X10" s="3">
        <v>0</v>
      </c>
      <c r="Y10" s="3">
        <v>3.7999999999999999E-2</v>
      </c>
      <c r="Z10" s="3">
        <v>5.4760000000000003E-2</v>
      </c>
      <c r="AA10" s="3">
        <v>3.4000000000000002E-2</v>
      </c>
      <c r="AB10" s="3">
        <v>3.73</v>
      </c>
      <c r="AC10" s="2" t="s">
        <v>86</v>
      </c>
    </row>
    <row r="11" spans="1:30" x14ac:dyDescent="0.3">
      <c r="A11" s="2">
        <v>21</v>
      </c>
      <c r="B11" s="2" t="s">
        <v>95</v>
      </c>
      <c r="C11" s="2" t="s">
        <v>96</v>
      </c>
      <c r="D11" s="2" t="s">
        <v>97</v>
      </c>
      <c r="E11" s="2" t="s">
        <v>93</v>
      </c>
      <c r="F11" s="2" t="s">
        <v>93</v>
      </c>
      <c r="G11" s="2" t="s">
        <v>270</v>
      </c>
      <c r="H11" s="2" t="s">
        <v>271</v>
      </c>
      <c r="I11" s="2" t="s">
        <v>272</v>
      </c>
      <c r="J11" s="2" t="s">
        <v>273</v>
      </c>
      <c r="K11" s="2" t="s">
        <v>274</v>
      </c>
      <c r="L11" s="2" t="s">
        <v>275</v>
      </c>
      <c r="M11" s="6">
        <v>0.48765046296143233</v>
      </c>
      <c r="N11" s="2" t="s">
        <v>30</v>
      </c>
      <c r="O11" s="2" t="s">
        <v>68</v>
      </c>
      <c r="P11" s="2" t="s">
        <v>36</v>
      </c>
      <c r="Q11" s="2">
        <v>720</v>
      </c>
      <c r="R11" s="2">
        <v>720</v>
      </c>
      <c r="S11" s="3">
        <v>4.59</v>
      </c>
      <c r="T11" s="3">
        <v>95.41</v>
      </c>
      <c r="U11" s="3">
        <v>59.98</v>
      </c>
      <c r="V11" s="3">
        <v>3.2614700000000001</v>
      </c>
      <c r="W11" s="3">
        <v>4.9379999999999997</v>
      </c>
      <c r="X11" s="3">
        <v>0</v>
      </c>
      <c r="Y11" s="3">
        <v>5.2999999999999999E-2</v>
      </c>
      <c r="Z11" s="3">
        <v>8.7749999999999995E-2</v>
      </c>
      <c r="AA11" s="3">
        <v>0.246</v>
      </c>
      <c r="AB11" s="3">
        <v>5.41</v>
      </c>
      <c r="AC11" s="2" t="s">
        <v>94</v>
      </c>
    </row>
    <row r="12" spans="1:30" x14ac:dyDescent="0.3">
      <c r="A12" s="2">
        <v>23</v>
      </c>
      <c r="B12" s="2" t="s">
        <v>103</v>
      </c>
      <c r="C12" s="2" t="s">
        <v>104</v>
      </c>
      <c r="D12" s="2" t="s">
        <v>105</v>
      </c>
      <c r="E12" s="2" t="s">
        <v>101</v>
      </c>
      <c r="F12" s="2" t="s">
        <v>101</v>
      </c>
      <c r="G12" s="2" t="s">
        <v>282</v>
      </c>
      <c r="H12" s="2" t="s">
        <v>283</v>
      </c>
      <c r="I12" s="2" t="s">
        <v>284</v>
      </c>
      <c r="J12" s="2" t="s">
        <v>285</v>
      </c>
      <c r="K12" s="2" t="s">
        <v>286</v>
      </c>
      <c r="L12" s="2" t="s">
        <v>287</v>
      </c>
      <c r="M12" s="6">
        <v>0.41274305555815333</v>
      </c>
      <c r="N12" s="2" t="s">
        <v>30</v>
      </c>
      <c r="O12" s="2" t="s">
        <v>31</v>
      </c>
      <c r="P12" s="2" t="s">
        <v>36</v>
      </c>
      <c r="Q12" s="2">
        <v>800</v>
      </c>
      <c r="R12" s="2">
        <v>800</v>
      </c>
      <c r="S12" s="3">
        <v>4.5999999999999996</v>
      </c>
      <c r="T12" s="3">
        <v>95.4</v>
      </c>
      <c r="U12" s="3">
        <v>62.51</v>
      </c>
      <c r="V12" s="3">
        <v>4.0357900000000004</v>
      </c>
      <c r="W12" s="3">
        <v>2.89</v>
      </c>
      <c r="X12" s="3">
        <v>0</v>
      </c>
      <c r="Y12" s="3">
        <v>5.2999999999999999E-2</v>
      </c>
      <c r="Z12" s="3">
        <v>4.8919999999999998E-2</v>
      </c>
      <c r="AA12" s="3">
        <v>2.4E-2</v>
      </c>
      <c r="AB12" s="3">
        <v>3.36</v>
      </c>
      <c r="AC12" s="2" t="s">
        <v>102</v>
      </c>
    </row>
    <row r="13" spans="1:30" x14ac:dyDescent="0.3">
      <c r="A13" s="2">
        <v>25</v>
      </c>
      <c r="B13" s="2" t="s">
        <v>111</v>
      </c>
      <c r="C13" s="2" t="s">
        <v>112</v>
      </c>
      <c r="D13" s="2" t="s">
        <v>113</v>
      </c>
      <c r="E13" s="2" t="s">
        <v>109</v>
      </c>
      <c r="F13" s="2" t="s">
        <v>109</v>
      </c>
      <c r="G13" s="2" t="s">
        <v>294</v>
      </c>
      <c r="H13" s="2" t="s">
        <v>295</v>
      </c>
      <c r="I13" s="2" t="s">
        <v>296</v>
      </c>
      <c r="J13" s="2" t="s">
        <v>297</v>
      </c>
      <c r="K13" s="2" t="s">
        <v>298</v>
      </c>
      <c r="L13" s="2" t="s">
        <v>299</v>
      </c>
      <c r="M13" s="6">
        <v>0.45939814814765229</v>
      </c>
      <c r="N13" s="2" t="s">
        <v>30</v>
      </c>
      <c r="O13" s="2" t="s">
        <v>59</v>
      </c>
      <c r="P13" s="2" t="s">
        <v>36</v>
      </c>
      <c r="Q13" s="2">
        <v>1200</v>
      </c>
      <c r="R13" s="2">
        <v>1200</v>
      </c>
      <c r="S13" s="3">
        <v>4.67</v>
      </c>
      <c r="T13" s="3">
        <v>95.33</v>
      </c>
      <c r="U13" s="3">
        <v>59.19</v>
      </c>
      <c r="V13" s="3">
        <v>3.3386499999999999</v>
      </c>
      <c r="W13" s="3">
        <v>5.25</v>
      </c>
      <c r="X13" s="3">
        <v>0</v>
      </c>
      <c r="Y13" s="3">
        <v>5.6000000000000001E-2</v>
      </c>
      <c r="Z13" s="3">
        <v>9.3679999999999999E-2</v>
      </c>
      <c r="AA13" s="3">
        <v>4.8000000000000001E-2</v>
      </c>
      <c r="AB13" s="3">
        <v>6.33</v>
      </c>
      <c r="AC13" s="2" t="s">
        <v>110</v>
      </c>
    </row>
    <row r="14" spans="1:30" x14ac:dyDescent="0.3">
      <c r="A14" s="2">
        <v>27</v>
      </c>
      <c r="B14" s="2" t="s">
        <v>119</v>
      </c>
      <c r="C14" s="2" t="s">
        <v>120</v>
      </c>
      <c r="D14" s="2" t="s">
        <v>121</v>
      </c>
      <c r="E14" s="2" t="s">
        <v>117</v>
      </c>
      <c r="F14" s="2" t="s">
        <v>117</v>
      </c>
      <c r="G14" s="2" t="s">
        <v>306</v>
      </c>
      <c r="H14" s="2" t="s">
        <v>307</v>
      </c>
      <c r="I14" s="2" t="s">
        <v>308</v>
      </c>
      <c r="J14" s="2" t="s">
        <v>309</v>
      </c>
      <c r="K14" s="2" t="s">
        <v>310</v>
      </c>
      <c r="L14" s="2" t="s">
        <v>311</v>
      </c>
      <c r="M14" s="6">
        <v>0.27517361111147765</v>
      </c>
      <c r="N14" s="2" t="s">
        <v>30</v>
      </c>
      <c r="O14" s="2" t="s">
        <v>31</v>
      </c>
      <c r="P14" s="2" t="s">
        <v>36</v>
      </c>
      <c r="Q14" s="2">
        <v>800</v>
      </c>
      <c r="R14" s="2">
        <v>800</v>
      </c>
      <c r="S14" s="3">
        <v>4.8600000000000003</v>
      </c>
      <c r="T14" s="3">
        <v>95.14</v>
      </c>
      <c r="U14" s="3">
        <v>62.15</v>
      </c>
      <c r="V14" s="3">
        <v>2.6670400000000001</v>
      </c>
      <c r="W14" s="3">
        <v>3.3759999999999999</v>
      </c>
      <c r="X14" s="3">
        <v>0</v>
      </c>
      <c r="Y14" s="3">
        <v>7.0999999999999994E-2</v>
      </c>
      <c r="Z14" s="3">
        <v>0.1045</v>
      </c>
      <c r="AA14" s="3">
        <v>2E-3</v>
      </c>
      <c r="AB14" s="3">
        <v>4.72</v>
      </c>
      <c r="AC14" s="2" t="s">
        <v>118</v>
      </c>
    </row>
    <row r="15" spans="1:30" x14ac:dyDescent="0.3">
      <c r="A15" s="2">
        <v>29</v>
      </c>
      <c r="B15" s="2" t="s">
        <v>127</v>
      </c>
      <c r="C15" s="2" t="s">
        <v>128</v>
      </c>
      <c r="D15" s="2" t="s">
        <v>129</v>
      </c>
      <c r="E15" s="2" t="s">
        <v>125</v>
      </c>
      <c r="F15" s="2" t="s">
        <v>125</v>
      </c>
      <c r="G15" s="2" t="s">
        <v>318</v>
      </c>
      <c r="H15" s="2" t="s">
        <v>319</v>
      </c>
      <c r="I15" s="2" t="s">
        <v>320</v>
      </c>
      <c r="J15" s="2" t="s">
        <v>321</v>
      </c>
      <c r="K15" s="2" t="s">
        <v>322</v>
      </c>
      <c r="L15" s="2" t="s">
        <v>323</v>
      </c>
      <c r="M15" s="6">
        <v>0.44326388888518087</v>
      </c>
      <c r="N15" s="2" t="s">
        <v>30</v>
      </c>
      <c r="O15" s="2" t="s">
        <v>31</v>
      </c>
      <c r="P15" s="2" t="s">
        <v>36</v>
      </c>
      <c r="Q15" s="2">
        <v>640</v>
      </c>
      <c r="R15" s="2">
        <v>640</v>
      </c>
      <c r="S15" s="3">
        <v>4.78</v>
      </c>
      <c r="T15" s="3">
        <v>95.22</v>
      </c>
      <c r="U15" s="3">
        <v>61.55</v>
      </c>
      <c r="V15" s="3">
        <v>4.3456999999999999</v>
      </c>
      <c r="W15" s="3">
        <v>3.1360000000000001</v>
      </c>
      <c r="X15" s="3">
        <v>0</v>
      </c>
      <c r="Y15" s="3">
        <v>6.6000000000000003E-2</v>
      </c>
      <c r="Z15" s="3">
        <v>7.1910000000000002E-2</v>
      </c>
      <c r="AA15" s="3">
        <v>1.9E-2</v>
      </c>
      <c r="AB15" s="3">
        <v>4.13</v>
      </c>
      <c r="AC15" s="2" t="s">
        <v>126</v>
      </c>
    </row>
    <row r="16" spans="1:30" x14ac:dyDescent="0.3">
      <c r="A16" s="2">
        <v>31</v>
      </c>
      <c r="B16" s="2" t="s">
        <v>135</v>
      </c>
      <c r="C16" s="2" t="s">
        <v>136</v>
      </c>
      <c r="D16" s="2" t="s">
        <v>137</v>
      </c>
      <c r="E16" s="2" t="s">
        <v>133</v>
      </c>
      <c r="F16" s="2" t="s">
        <v>133</v>
      </c>
      <c r="G16" s="2" t="s">
        <v>330</v>
      </c>
      <c r="H16" s="2" t="s">
        <v>331</v>
      </c>
      <c r="I16" s="2" t="s">
        <v>332</v>
      </c>
      <c r="J16" s="2" t="s">
        <v>333</v>
      </c>
      <c r="K16" s="2" t="s">
        <v>334</v>
      </c>
      <c r="L16" s="2" t="s">
        <v>335</v>
      </c>
      <c r="M16" s="6">
        <v>0.46251157407698446</v>
      </c>
      <c r="N16" s="2" t="s">
        <v>30</v>
      </c>
      <c r="O16" s="2" t="s">
        <v>31</v>
      </c>
      <c r="P16" s="2" t="s">
        <v>36</v>
      </c>
      <c r="Q16" s="2">
        <v>560</v>
      </c>
      <c r="R16" s="2">
        <v>560</v>
      </c>
      <c r="S16" s="3">
        <v>4.78</v>
      </c>
      <c r="T16" s="3">
        <v>95.22</v>
      </c>
      <c r="U16" s="3">
        <v>62.16</v>
      </c>
      <c r="V16" s="3">
        <v>3.6175099999999998</v>
      </c>
      <c r="W16" s="3">
        <v>3.17</v>
      </c>
      <c r="X16" s="3">
        <v>0</v>
      </c>
      <c r="Y16" s="3">
        <v>4.8000000000000001E-2</v>
      </c>
      <c r="Z16" s="3">
        <v>6.4839999999999995E-2</v>
      </c>
      <c r="AA16" s="3">
        <v>1.4E-2</v>
      </c>
      <c r="AB16" s="3">
        <v>3.95</v>
      </c>
      <c r="AC16" s="2" t="s">
        <v>134</v>
      </c>
    </row>
    <row r="17" spans="1:29" x14ac:dyDescent="0.3">
      <c r="A17" s="2">
        <v>33</v>
      </c>
      <c r="B17" s="2" t="s">
        <v>143</v>
      </c>
      <c r="C17" s="2" t="s">
        <v>144</v>
      </c>
      <c r="D17" s="2" t="s">
        <v>145</v>
      </c>
      <c r="E17" s="2" t="s">
        <v>141</v>
      </c>
      <c r="F17" s="2" t="s">
        <v>141</v>
      </c>
      <c r="G17" s="2" t="s">
        <v>342</v>
      </c>
      <c r="H17" s="2" t="s">
        <v>343</v>
      </c>
      <c r="I17" s="2" t="s">
        <v>344</v>
      </c>
      <c r="J17" s="2" t="s">
        <v>345</v>
      </c>
      <c r="K17" s="2" t="s">
        <v>346</v>
      </c>
      <c r="L17" s="2" t="s">
        <v>347</v>
      </c>
      <c r="M17" s="6">
        <v>0.34975694444235328</v>
      </c>
      <c r="N17" s="2" t="s">
        <v>30</v>
      </c>
      <c r="O17" s="2" t="s">
        <v>31</v>
      </c>
      <c r="P17" s="2" t="s">
        <v>36</v>
      </c>
      <c r="Q17" s="2">
        <v>640</v>
      </c>
      <c r="R17" s="2">
        <v>640</v>
      </c>
      <c r="S17" s="3">
        <v>4.5999999999999996</v>
      </c>
      <c r="T17" s="3">
        <v>95.4</v>
      </c>
      <c r="U17" s="3">
        <v>62.64</v>
      </c>
      <c r="V17" s="3">
        <v>3.4767600000000001</v>
      </c>
      <c r="W17" s="3">
        <v>2.887</v>
      </c>
      <c r="X17" s="3">
        <v>4.0000000000000001E-3</v>
      </c>
      <c r="Y17" s="3">
        <v>4.8000000000000001E-2</v>
      </c>
      <c r="Z17" s="3">
        <v>6.3420000000000004E-2</v>
      </c>
      <c r="AA17" s="3">
        <v>1.2E-2</v>
      </c>
      <c r="AB17" s="3">
        <v>3.67</v>
      </c>
      <c r="AC17" s="2" t="s">
        <v>142</v>
      </c>
    </row>
    <row r="18" spans="1:29" x14ac:dyDescent="0.3">
      <c r="A18" s="2">
        <v>35</v>
      </c>
      <c r="B18" s="2" t="s">
        <v>151</v>
      </c>
      <c r="C18" s="2" t="s">
        <v>152</v>
      </c>
      <c r="D18" s="2" t="s">
        <v>153</v>
      </c>
      <c r="E18" s="2" t="s">
        <v>149</v>
      </c>
      <c r="F18" s="2" t="s">
        <v>149</v>
      </c>
      <c r="G18" s="2" t="s">
        <v>354</v>
      </c>
      <c r="H18" s="2" t="s">
        <v>355</v>
      </c>
      <c r="I18" s="2" t="s">
        <v>356</v>
      </c>
      <c r="J18" s="2" t="s">
        <v>357</v>
      </c>
      <c r="K18" s="2" t="s">
        <v>358</v>
      </c>
      <c r="L18" s="2" t="s">
        <v>359</v>
      </c>
      <c r="M18" s="6">
        <v>0.50381944444075799</v>
      </c>
      <c r="N18" s="2" t="s">
        <v>30</v>
      </c>
      <c r="O18" s="2" t="s">
        <v>31</v>
      </c>
      <c r="P18" s="2" t="s">
        <v>154</v>
      </c>
      <c r="Q18" s="2">
        <v>640</v>
      </c>
      <c r="R18" s="2">
        <v>640</v>
      </c>
      <c r="S18" s="3">
        <v>4.7300000000000004</v>
      </c>
      <c r="T18" s="3">
        <v>95.27</v>
      </c>
      <c r="U18" s="3">
        <v>57.63</v>
      </c>
      <c r="V18" s="3">
        <v>5.7769500000000003</v>
      </c>
      <c r="W18" s="3">
        <v>5.2729999999999997</v>
      </c>
      <c r="X18" s="3">
        <v>0</v>
      </c>
      <c r="Y18" s="3">
        <v>6.6000000000000003E-2</v>
      </c>
      <c r="Z18" s="3">
        <v>8.4260000000000002E-2</v>
      </c>
      <c r="AA18" s="3">
        <v>6.5000000000000002E-2</v>
      </c>
      <c r="AB18" s="3">
        <v>6.1</v>
      </c>
      <c r="AC18" s="2" t="s">
        <v>155</v>
      </c>
    </row>
    <row r="19" spans="1:29" x14ac:dyDescent="0.3">
      <c r="A19" s="2">
        <v>37</v>
      </c>
      <c r="B19" s="2" t="s">
        <v>162</v>
      </c>
      <c r="C19" s="2" t="s">
        <v>163</v>
      </c>
      <c r="D19" s="2" t="s">
        <v>164</v>
      </c>
      <c r="E19" s="2" t="s">
        <v>159</v>
      </c>
      <c r="F19" s="2" t="s">
        <v>159</v>
      </c>
      <c r="G19" s="2" t="s">
        <v>366</v>
      </c>
      <c r="H19" s="2" t="s">
        <v>367</v>
      </c>
      <c r="I19" s="2" t="s">
        <v>368</v>
      </c>
      <c r="J19" s="2" t="s">
        <v>369</v>
      </c>
      <c r="K19" s="2" t="s">
        <v>370</v>
      </c>
      <c r="L19" s="2" t="s">
        <v>371</v>
      </c>
      <c r="M19" s="6">
        <v>0.3748495370383198</v>
      </c>
      <c r="N19" s="2" t="s">
        <v>30</v>
      </c>
      <c r="O19" s="2" t="s">
        <v>68</v>
      </c>
      <c r="P19" s="2" t="s">
        <v>36</v>
      </c>
      <c r="Q19" s="2">
        <v>800</v>
      </c>
      <c r="R19" s="2">
        <v>800</v>
      </c>
      <c r="S19" s="3">
        <v>4.72</v>
      </c>
      <c r="T19" s="3">
        <v>95.28</v>
      </c>
      <c r="U19" s="3">
        <v>63.55</v>
      </c>
      <c r="V19" s="3">
        <v>1.80169</v>
      </c>
      <c r="W19" s="3">
        <v>2.2730000000000001</v>
      </c>
      <c r="X19" s="3">
        <v>0</v>
      </c>
      <c r="Y19" s="3">
        <v>2.5999999999999999E-2</v>
      </c>
      <c r="Z19" s="3">
        <v>0.1106</v>
      </c>
      <c r="AA19" s="3">
        <v>8.9999999999999993E-3</v>
      </c>
      <c r="AB19" s="3">
        <v>4.67</v>
      </c>
      <c r="AC19" s="2" t="s">
        <v>161</v>
      </c>
    </row>
    <row r="20" spans="1:29" ht="15" thickBot="1" x14ac:dyDescent="0.35">
      <c r="A20" s="2">
        <v>38</v>
      </c>
      <c r="B20" s="2" t="s">
        <v>165</v>
      </c>
      <c r="C20" s="2" t="s">
        <v>166</v>
      </c>
      <c r="D20" s="2" t="s">
        <v>167</v>
      </c>
      <c r="E20" s="2" t="s">
        <v>168</v>
      </c>
      <c r="F20" s="2" t="s">
        <v>168</v>
      </c>
      <c r="G20" s="2" t="s">
        <v>372</v>
      </c>
      <c r="H20" s="2" t="s">
        <v>373</v>
      </c>
      <c r="I20" s="2" t="s">
        <v>374</v>
      </c>
      <c r="J20" s="2" t="s">
        <v>375</v>
      </c>
      <c r="K20" s="2" t="s">
        <v>376</v>
      </c>
      <c r="L20" s="2" t="s">
        <v>377</v>
      </c>
      <c r="M20" s="6">
        <v>0.25715277778148582</v>
      </c>
      <c r="N20" s="2" t="s">
        <v>30</v>
      </c>
      <c r="O20" s="2" t="s">
        <v>169</v>
      </c>
      <c r="P20" s="2" t="s">
        <v>36</v>
      </c>
      <c r="Q20" s="2">
        <v>800</v>
      </c>
      <c r="R20" s="2">
        <v>800</v>
      </c>
      <c r="S20" s="3">
        <v>4.7300000000000004</v>
      </c>
      <c r="T20" s="3">
        <v>95.27</v>
      </c>
      <c r="U20" s="3">
        <v>61.07</v>
      </c>
      <c r="V20" s="3">
        <v>3.7012</v>
      </c>
      <c r="W20" s="3">
        <v>3.9630000000000001</v>
      </c>
      <c r="X20" s="3">
        <v>0</v>
      </c>
      <c r="Y20" s="3">
        <v>4.8000000000000001E-2</v>
      </c>
      <c r="Z20" s="3">
        <v>5.987E-2</v>
      </c>
      <c r="AA20" s="3">
        <v>0.02</v>
      </c>
      <c r="AB20" s="3">
        <v>4.71</v>
      </c>
      <c r="AC20" s="2" t="s">
        <v>170</v>
      </c>
    </row>
    <row r="21" spans="1:29" ht="15" thickBot="1" x14ac:dyDescent="0.35">
      <c r="Q21" s="10">
        <f>SUM(Q5:Q20)</f>
        <v>11745</v>
      </c>
      <c r="R21" s="11"/>
      <c r="S21" s="12">
        <f t="shared" ref="S21:T21" si="0">SUMPRODUCT($Q$5:$Q$20,S5:S20)/$Q$21</f>
        <v>4.7493486590038314</v>
      </c>
      <c r="T21" s="12">
        <f t="shared" si="0"/>
        <v>95.250651340996185</v>
      </c>
      <c r="U21" s="12">
        <f>SUMPRODUCT($Q$5:$Q$20,U5:U20)/$Q$21</f>
        <v>61.629868028948479</v>
      </c>
      <c r="V21" s="12">
        <f t="shared" ref="V21:AB21" si="1">SUMPRODUCT($Q$5:$Q$20,V5:V20)/$Q$21</f>
        <v>3.3856150489570029</v>
      </c>
      <c r="W21" s="12">
        <f t="shared" si="1"/>
        <v>3.6152077479778635</v>
      </c>
      <c r="X21" s="12">
        <f t="shared" si="1"/>
        <v>2.1796509152830992E-4</v>
      </c>
      <c r="Y21" s="12">
        <f t="shared" si="1"/>
        <v>5.2039165602383988E-2</v>
      </c>
      <c r="Z21" s="12">
        <f t="shared" si="1"/>
        <v>7.541777777777775E-2</v>
      </c>
      <c r="AA21" s="12">
        <f t="shared" si="1"/>
        <v>3.7262239250745004E-2</v>
      </c>
      <c r="AB21" s="12">
        <f t="shared" si="1"/>
        <v>4.5076628352490422</v>
      </c>
    </row>
    <row r="23" spans="1:29" x14ac:dyDescent="0.3">
      <c r="U23">
        <f>MAX(U5:U20)</f>
        <v>63.89</v>
      </c>
    </row>
    <row r="24" spans="1:29" x14ac:dyDescent="0.3">
      <c r="U24">
        <f>MIN(U5:U20)</f>
        <v>57.63</v>
      </c>
    </row>
  </sheetData>
  <autoFilter ref="A3:AD20" xr:uid="{00000000-0001-0000-0100-000000000000}"/>
  <mergeCells count="22">
    <mergeCell ref="F2:F4"/>
    <mergeCell ref="A2:A4"/>
    <mergeCell ref="B2:B4"/>
    <mergeCell ref="C2:C4"/>
    <mergeCell ref="D2:D4"/>
    <mergeCell ref="E2:E4"/>
    <mergeCell ref="S2:T2"/>
    <mergeCell ref="U2:AB2"/>
    <mergeCell ref="AC2:AC4"/>
    <mergeCell ref="AD2:AD4"/>
    <mergeCell ref="G3:G4"/>
    <mergeCell ref="H3:H4"/>
    <mergeCell ref="I3:I4"/>
    <mergeCell ref="J3:J4"/>
    <mergeCell ref="K3:K4"/>
    <mergeCell ref="L3:L4"/>
    <mergeCell ref="M3:M4"/>
    <mergeCell ref="N2:N4"/>
    <mergeCell ref="O2:O4"/>
    <mergeCell ref="P2:P4"/>
    <mergeCell ref="Q2:Q4"/>
    <mergeCell ref="R2: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5250-EB69-4CDC-BF8C-87DD8946A741}">
  <sheetPr filterMode="1"/>
  <dimension ref="A2:AB21"/>
  <sheetViews>
    <sheetView workbookViewId="0">
      <selection activeCell="G23" sqref="G23:Q23"/>
    </sheetView>
  </sheetViews>
  <sheetFormatPr defaultRowHeight="14.4" x14ac:dyDescent="0.3"/>
  <cols>
    <col min="1" max="1" width="2.77734375" bestFit="1" customWidth="1"/>
    <col min="2" max="2" width="19" bestFit="1" customWidth="1"/>
    <col min="3" max="4" width="10.109375" bestFit="1" customWidth="1"/>
    <col min="5" max="5" width="11.109375" bestFit="1" customWidth="1"/>
    <col min="6" max="6" width="13.77734375" customWidth="1"/>
    <col min="7" max="7" width="8.21875" customWidth="1"/>
    <col min="8" max="8" width="4.77734375" bestFit="1" customWidth="1"/>
    <col min="9" max="9" width="5.77734375" bestFit="1" customWidth="1"/>
    <col min="10" max="11" width="7.77734375" bestFit="1" customWidth="1"/>
    <col min="12" max="14" width="5.77734375" bestFit="1" customWidth="1"/>
    <col min="15" max="15" width="7.77734375" bestFit="1" customWidth="1"/>
    <col min="16" max="16" width="5.77734375" bestFit="1" customWidth="1"/>
    <col min="17" max="17" width="4.77734375" bestFit="1" customWidth="1"/>
  </cols>
  <sheetData>
    <row r="2" spans="1:28" s="2" customFormat="1" x14ac:dyDescent="0.3">
      <c r="A2" s="73" t="s">
        <v>1</v>
      </c>
      <c r="B2" s="73" t="s">
        <v>3</v>
      </c>
      <c r="C2" s="73" t="s">
        <v>5</v>
      </c>
      <c r="D2" s="73" t="s">
        <v>6</v>
      </c>
      <c r="E2" s="73" t="s">
        <v>9</v>
      </c>
      <c r="F2" s="73" t="s">
        <v>10</v>
      </c>
      <c r="G2" s="73" t="s">
        <v>11</v>
      </c>
      <c r="H2" s="73" t="s">
        <v>12</v>
      </c>
      <c r="I2" s="74"/>
      <c r="J2" s="73" t="s">
        <v>15</v>
      </c>
      <c r="K2" s="74"/>
      <c r="L2" s="74"/>
      <c r="M2" s="74"/>
      <c r="N2" s="74"/>
      <c r="O2" s="74"/>
      <c r="P2" s="74"/>
      <c r="Q2" s="74"/>
    </row>
    <row r="3" spans="1:28" s="2" customFormat="1" x14ac:dyDescent="0.3">
      <c r="A3" s="74"/>
      <c r="B3" s="74"/>
      <c r="C3" s="74"/>
      <c r="D3" s="74"/>
      <c r="E3" s="74"/>
      <c r="F3" s="74"/>
      <c r="G3" s="74"/>
    </row>
    <row r="4" spans="1:28" s="2" customFormat="1" ht="29.4" hidden="1" thickBot="1" x14ac:dyDescent="0.35">
      <c r="A4" s="74"/>
      <c r="B4" s="74"/>
      <c r="C4" s="74"/>
      <c r="D4" s="74"/>
      <c r="E4" s="74"/>
      <c r="F4" s="74"/>
      <c r="G4" s="74"/>
      <c r="H4" s="1" t="s">
        <v>13</v>
      </c>
      <c r="I4" s="1" t="s">
        <v>14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58"/>
      <c r="S4" s="57" t="e">
        <f t="shared" ref="S4" si="0">SUMPRODUCT($G$4:$G$10,H4:H10)/$R$4</f>
        <v>#DIV/0!</v>
      </c>
      <c r="T4" s="57" t="e">
        <f>SUMPRODUCT($G$4:$G$10,I4:I10)/$R$4</f>
        <v>#DIV/0!</v>
      </c>
      <c r="U4" s="57" t="e">
        <f>SUMPRODUCT($G$4:$G$10,J4:J10)/$R$4</f>
        <v>#DIV/0!</v>
      </c>
      <c r="V4" s="57" t="e">
        <f>SUMPRODUCT($G$4:$G$10,K4:K10)/$R$4</f>
        <v>#DIV/0!</v>
      </c>
      <c r="W4" s="57" t="e">
        <f t="shared" ref="W4:AB4" si="1">SUMPRODUCT($G$4:$G$10,L4:L10)/$R$4</f>
        <v>#DIV/0!</v>
      </c>
      <c r="X4" s="57" t="e">
        <f t="shared" si="1"/>
        <v>#DIV/0!</v>
      </c>
      <c r="Y4" s="57" t="e">
        <f t="shared" si="1"/>
        <v>#DIV/0!</v>
      </c>
      <c r="Z4" s="57" t="e">
        <f t="shared" si="1"/>
        <v>#DIV/0!</v>
      </c>
      <c r="AA4" s="57" t="e">
        <f t="shared" si="1"/>
        <v>#DIV/0!</v>
      </c>
      <c r="AB4" s="48" t="e">
        <f t="shared" si="1"/>
        <v>#DIV/0!</v>
      </c>
    </row>
    <row r="5" spans="1:28" hidden="1" x14ac:dyDescent="0.3">
      <c r="A5" s="2">
        <v>2</v>
      </c>
      <c r="B5" s="2" t="s">
        <v>403</v>
      </c>
      <c r="C5" s="5">
        <v>45870</v>
      </c>
      <c r="D5" s="4">
        <v>45869</v>
      </c>
      <c r="E5" s="2" t="s">
        <v>36</v>
      </c>
      <c r="F5" s="14">
        <v>800</v>
      </c>
      <c r="G5" s="15">
        <v>800</v>
      </c>
      <c r="H5" s="16">
        <v>4.87</v>
      </c>
      <c r="I5" s="16">
        <v>95.13</v>
      </c>
      <c r="J5" s="16">
        <v>63.89</v>
      </c>
      <c r="K5" s="16">
        <v>1.8470200000000001</v>
      </c>
      <c r="L5" s="16">
        <v>2.3490000000000002</v>
      </c>
      <c r="M5" s="16">
        <v>0</v>
      </c>
      <c r="N5" s="16">
        <v>1.7000000000000001E-2</v>
      </c>
      <c r="O5" s="16">
        <v>0.1116</v>
      </c>
      <c r="P5" s="16">
        <v>4.0000000000000001E-3</v>
      </c>
      <c r="Q5" s="21">
        <v>4.1100000000000003</v>
      </c>
    </row>
    <row r="6" spans="1:28" hidden="1" x14ac:dyDescent="0.3">
      <c r="A6" s="2">
        <v>4</v>
      </c>
      <c r="B6" s="2" t="s">
        <v>423</v>
      </c>
      <c r="C6" s="4">
        <v>45869</v>
      </c>
      <c r="D6" s="2" t="s">
        <v>29</v>
      </c>
      <c r="E6" s="2" t="s">
        <v>36</v>
      </c>
      <c r="F6" s="20">
        <v>560</v>
      </c>
      <c r="G6" s="2">
        <v>560</v>
      </c>
      <c r="H6" s="3">
        <v>4.9800000000000004</v>
      </c>
      <c r="I6" s="3">
        <v>95.02</v>
      </c>
      <c r="J6" s="3">
        <v>61.51</v>
      </c>
      <c r="K6" s="3">
        <v>3.1471900000000002</v>
      </c>
      <c r="L6" s="3">
        <v>4.32</v>
      </c>
      <c r="M6" s="3">
        <v>0</v>
      </c>
      <c r="N6" s="3">
        <v>4.7E-2</v>
      </c>
      <c r="O6" s="3">
        <v>6.6919999999999993E-2</v>
      </c>
      <c r="P6" s="3">
        <v>3.2000000000000001E-2</v>
      </c>
      <c r="Q6" s="22">
        <v>4.29</v>
      </c>
    </row>
    <row r="7" spans="1:28" x14ac:dyDescent="0.3">
      <c r="A7" s="2">
        <v>6</v>
      </c>
      <c r="B7" s="2" t="s">
        <v>34</v>
      </c>
      <c r="C7" s="2" t="s">
        <v>29</v>
      </c>
      <c r="D7" s="2" t="s">
        <v>29</v>
      </c>
      <c r="E7" s="2" t="s">
        <v>36</v>
      </c>
      <c r="F7" s="20">
        <v>385</v>
      </c>
      <c r="G7" s="2">
        <v>385</v>
      </c>
      <c r="H7" s="3">
        <v>4.78</v>
      </c>
      <c r="I7" s="3">
        <v>95.22</v>
      </c>
      <c r="J7" s="3">
        <v>59.12</v>
      </c>
      <c r="K7" s="3">
        <v>3.7402700000000002</v>
      </c>
      <c r="L7" s="3">
        <v>5.7990000000000004</v>
      </c>
      <c r="M7" s="3">
        <v>0</v>
      </c>
      <c r="N7" s="3">
        <v>6.4000000000000001E-2</v>
      </c>
      <c r="O7" s="3">
        <v>7.4759999999999993E-2</v>
      </c>
      <c r="P7" s="3">
        <v>4.4999999999999998E-2</v>
      </c>
      <c r="Q7" s="22">
        <v>5.54</v>
      </c>
    </row>
    <row r="8" spans="1:28" hidden="1" x14ac:dyDescent="0.3">
      <c r="A8" s="2">
        <v>13</v>
      </c>
      <c r="B8" s="2" t="s">
        <v>62</v>
      </c>
      <c r="C8" s="2" t="s">
        <v>58</v>
      </c>
      <c r="D8" s="2" t="s">
        <v>58</v>
      </c>
      <c r="E8" s="2" t="s">
        <v>36</v>
      </c>
      <c r="F8" s="20">
        <v>800</v>
      </c>
      <c r="G8" s="2">
        <v>800</v>
      </c>
      <c r="H8" s="3">
        <v>4.7300000000000004</v>
      </c>
      <c r="I8" s="3">
        <v>95.27</v>
      </c>
      <c r="J8" s="3">
        <v>62.83</v>
      </c>
      <c r="K8" s="3">
        <v>3.46705</v>
      </c>
      <c r="L8" s="3">
        <v>2.6549999999999998</v>
      </c>
      <c r="M8" s="3">
        <v>0</v>
      </c>
      <c r="N8" s="3">
        <v>5.7000000000000002E-2</v>
      </c>
      <c r="O8" s="3">
        <v>4.6969999999999998E-2</v>
      </c>
      <c r="P8" s="3">
        <v>1.4E-2</v>
      </c>
      <c r="Q8" s="22">
        <v>3.78</v>
      </c>
    </row>
    <row r="9" spans="1:28" hidden="1" x14ac:dyDescent="0.3">
      <c r="A9" s="2">
        <v>17</v>
      </c>
      <c r="B9" s="2" t="s">
        <v>80</v>
      </c>
      <c r="C9" s="2" t="s">
        <v>77</v>
      </c>
      <c r="D9" s="2" t="s">
        <v>77</v>
      </c>
      <c r="E9" s="2" t="s">
        <v>36</v>
      </c>
      <c r="F9" s="20">
        <v>800</v>
      </c>
      <c r="G9" s="2">
        <v>800</v>
      </c>
      <c r="H9" s="3">
        <v>4.84</v>
      </c>
      <c r="I9" s="3">
        <v>95.16</v>
      </c>
      <c r="J9" s="3">
        <v>62.53</v>
      </c>
      <c r="K9" s="3">
        <v>3.9046599999999998</v>
      </c>
      <c r="L9" s="3">
        <v>3.2040000000000002</v>
      </c>
      <c r="M9" s="3">
        <v>0</v>
      </c>
      <c r="N9" s="3">
        <v>8.1000000000000003E-2</v>
      </c>
      <c r="O9" s="3">
        <v>4.6629999999999998E-2</v>
      </c>
      <c r="P9" s="3">
        <v>1.6E-2</v>
      </c>
      <c r="Q9" s="22">
        <v>3.18</v>
      </c>
    </row>
    <row r="10" spans="1:28" hidden="1" x14ac:dyDescent="0.3">
      <c r="A10" s="2">
        <v>19</v>
      </c>
      <c r="B10" s="2" t="s">
        <v>88</v>
      </c>
      <c r="C10" s="2" t="s">
        <v>85</v>
      </c>
      <c r="D10" s="2" t="s">
        <v>85</v>
      </c>
      <c r="E10" s="2" t="s">
        <v>36</v>
      </c>
      <c r="F10" s="20">
        <v>800</v>
      </c>
      <c r="G10" s="2">
        <v>1000</v>
      </c>
      <c r="H10" s="3">
        <v>4.82</v>
      </c>
      <c r="I10" s="3">
        <v>95.18</v>
      </c>
      <c r="J10" s="3">
        <v>63.03</v>
      </c>
      <c r="K10" s="3">
        <v>2.9224899999999998</v>
      </c>
      <c r="L10" s="3">
        <v>2.976</v>
      </c>
      <c r="M10" s="3">
        <v>0</v>
      </c>
      <c r="N10" s="3">
        <v>3.7999999999999999E-2</v>
      </c>
      <c r="O10" s="3">
        <v>5.4760000000000003E-2</v>
      </c>
      <c r="P10" s="3">
        <v>3.4000000000000002E-2</v>
      </c>
      <c r="Q10" s="22">
        <v>3.73</v>
      </c>
    </row>
    <row r="11" spans="1:28" ht="15" thickBot="1" x14ac:dyDescent="0.35">
      <c r="A11" s="2">
        <v>21</v>
      </c>
      <c r="B11" s="2" t="s">
        <v>96</v>
      </c>
      <c r="C11" s="2" t="s">
        <v>93</v>
      </c>
      <c r="D11" s="2" t="s">
        <v>93</v>
      </c>
      <c r="E11" s="2" t="s">
        <v>36</v>
      </c>
      <c r="F11" s="17">
        <v>720</v>
      </c>
      <c r="G11" s="18">
        <v>720</v>
      </c>
      <c r="H11" s="19">
        <v>4.59</v>
      </c>
      <c r="I11" s="19">
        <v>95.41</v>
      </c>
      <c r="J11" s="19">
        <v>59.98</v>
      </c>
      <c r="K11" s="19">
        <v>3.2614700000000001</v>
      </c>
      <c r="L11" s="19">
        <v>4.9379999999999997</v>
      </c>
      <c r="M11" s="19">
        <v>0</v>
      </c>
      <c r="N11" s="19">
        <v>5.2999999999999999E-2</v>
      </c>
      <c r="O11" s="19">
        <v>8.7749999999999995E-2</v>
      </c>
      <c r="P11" s="19">
        <v>0.246</v>
      </c>
      <c r="Q11" s="23">
        <v>5.41</v>
      </c>
      <c r="U11">
        <v>63.219152542372903</v>
      </c>
      <c r="V11">
        <v>2.2314247457627099</v>
      </c>
      <c r="W11" t="e">
        <v>#DIV/0!</v>
      </c>
      <c r="X11" t="e">
        <v>#DIV/0!</v>
      </c>
      <c r="Y11" t="e">
        <v>#DIV/0!</v>
      </c>
      <c r="Z11" t="e">
        <v>#DIV/0!</v>
      </c>
      <c r="AA11" t="e">
        <v>#DIV/0!</v>
      </c>
      <c r="AB11" t="e">
        <v>#DIV/0!</v>
      </c>
    </row>
    <row r="12" spans="1:28" hidden="1" x14ac:dyDescent="0.3">
      <c r="A12" s="2">
        <v>23</v>
      </c>
      <c r="B12" s="2" t="s">
        <v>104</v>
      </c>
      <c r="C12" s="2" t="s">
        <v>101</v>
      </c>
      <c r="D12" s="2" t="s">
        <v>101</v>
      </c>
      <c r="E12" s="2" t="s">
        <v>36</v>
      </c>
      <c r="F12" s="14">
        <v>800</v>
      </c>
      <c r="G12" s="15">
        <v>800</v>
      </c>
      <c r="H12" s="16">
        <v>4.5999999999999996</v>
      </c>
      <c r="I12" s="16">
        <v>95.4</v>
      </c>
      <c r="J12" s="16">
        <v>62.51</v>
      </c>
      <c r="K12" s="16">
        <v>4.0357900000000004</v>
      </c>
      <c r="L12" s="16">
        <v>2.89</v>
      </c>
      <c r="M12" s="16">
        <v>0</v>
      </c>
      <c r="N12" s="16">
        <v>5.2999999999999999E-2</v>
      </c>
      <c r="O12" s="16">
        <v>4.8919999999999998E-2</v>
      </c>
      <c r="P12" s="16">
        <v>2.4E-2</v>
      </c>
      <c r="Q12" s="21">
        <v>3.36</v>
      </c>
    </row>
    <row r="13" spans="1:28" x14ac:dyDescent="0.3">
      <c r="A13" s="2">
        <v>25</v>
      </c>
      <c r="B13" s="2" t="s">
        <v>112</v>
      </c>
      <c r="C13" s="2" t="s">
        <v>109</v>
      </c>
      <c r="D13" s="2" t="s">
        <v>109</v>
      </c>
      <c r="E13" s="2" t="s">
        <v>36</v>
      </c>
      <c r="F13" s="20">
        <v>1200</v>
      </c>
      <c r="G13" s="2">
        <v>1200</v>
      </c>
      <c r="H13" s="3">
        <v>4.67</v>
      </c>
      <c r="I13" s="3">
        <v>95.33</v>
      </c>
      <c r="J13" s="3">
        <v>59.19</v>
      </c>
      <c r="K13" s="3">
        <v>3.3386499999999999</v>
      </c>
      <c r="L13" s="3">
        <v>5.25</v>
      </c>
      <c r="M13" s="3">
        <v>0</v>
      </c>
      <c r="N13" s="3">
        <v>5.6000000000000001E-2</v>
      </c>
      <c r="O13" s="3">
        <v>9.3679999999999999E-2</v>
      </c>
      <c r="P13" s="3">
        <v>4.8000000000000001E-2</v>
      </c>
      <c r="Q13" s="22">
        <v>6.33</v>
      </c>
    </row>
    <row r="14" spans="1:28" ht="15" hidden="1" thickBot="1" x14ac:dyDescent="0.35">
      <c r="A14" s="2">
        <v>27</v>
      </c>
      <c r="B14" s="2" t="s">
        <v>120</v>
      </c>
      <c r="C14" s="2" t="s">
        <v>117</v>
      </c>
      <c r="D14" s="2" t="s">
        <v>117</v>
      </c>
      <c r="E14" s="2" t="s">
        <v>36</v>
      </c>
      <c r="F14" s="17">
        <v>800</v>
      </c>
      <c r="G14" s="18">
        <v>800</v>
      </c>
      <c r="H14" s="19">
        <v>4.8600000000000003</v>
      </c>
      <c r="I14" s="19">
        <v>95.14</v>
      </c>
      <c r="J14" s="19">
        <v>62.15</v>
      </c>
      <c r="K14" s="19">
        <v>2.6670400000000001</v>
      </c>
      <c r="L14" s="19">
        <v>3.3759999999999999</v>
      </c>
      <c r="M14" s="19">
        <v>0</v>
      </c>
      <c r="N14" s="19">
        <v>7.0999999999999994E-2</v>
      </c>
      <c r="O14" s="19">
        <v>0.1045</v>
      </c>
      <c r="P14" s="19">
        <v>2E-3</v>
      </c>
      <c r="Q14" s="23">
        <v>4.72</v>
      </c>
    </row>
    <row r="15" spans="1:28" hidden="1" x14ac:dyDescent="0.3">
      <c r="A15" s="2">
        <v>29</v>
      </c>
      <c r="B15" s="2" t="s">
        <v>128</v>
      </c>
      <c r="C15" s="2" t="s">
        <v>125</v>
      </c>
      <c r="D15" s="2" t="s">
        <v>125</v>
      </c>
      <c r="E15" s="2" t="s">
        <v>36</v>
      </c>
      <c r="F15" s="2">
        <v>640</v>
      </c>
      <c r="G15" s="2">
        <v>640</v>
      </c>
      <c r="H15" s="3">
        <v>4.78</v>
      </c>
      <c r="I15" s="3">
        <v>95.22</v>
      </c>
      <c r="J15" s="3">
        <v>61.55</v>
      </c>
      <c r="K15" s="3">
        <v>4.3456999999999999</v>
      </c>
      <c r="L15" s="3">
        <v>3.1360000000000001</v>
      </c>
      <c r="M15" s="3">
        <v>0</v>
      </c>
      <c r="N15" s="3">
        <v>6.6000000000000003E-2</v>
      </c>
      <c r="O15" s="3">
        <v>7.1910000000000002E-2</v>
      </c>
      <c r="P15" s="3">
        <v>1.9E-2</v>
      </c>
      <c r="Q15" s="3">
        <v>4.13</v>
      </c>
    </row>
    <row r="16" spans="1:28" hidden="1" x14ac:dyDescent="0.3">
      <c r="A16" s="2">
        <v>31</v>
      </c>
      <c r="B16" s="2" t="s">
        <v>136</v>
      </c>
      <c r="C16" s="2" t="s">
        <v>133</v>
      </c>
      <c r="D16" s="2" t="s">
        <v>133</v>
      </c>
      <c r="E16" s="2" t="s">
        <v>36</v>
      </c>
      <c r="F16" s="14">
        <v>560</v>
      </c>
      <c r="G16" s="15">
        <v>560</v>
      </c>
      <c r="H16" s="16">
        <v>4.78</v>
      </c>
      <c r="I16" s="16">
        <v>95.22</v>
      </c>
      <c r="J16" s="16">
        <v>62.16</v>
      </c>
      <c r="K16" s="16">
        <v>3.6175099999999998</v>
      </c>
      <c r="L16" s="16">
        <v>3.17</v>
      </c>
      <c r="M16" s="16">
        <v>0</v>
      </c>
      <c r="N16" s="16">
        <v>4.8000000000000001E-2</v>
      </c>
      <c r="O16" s="16">
        <v>6.4839999999999995E-2</v>
      </c>
      <c r="P16" s="16">
        <v>1.4E-2</v>
      </c>
      <c r="Q16" s="21">
        <v>3.95</v>
      </c>
    </row>
    <row r="17" spans="1:17" hidden="1" x14ac:dyDescent="0.3">
      <c r="A17" s="2">
        <v>33</v>
      </c>
      <c r="B17" s="2" t="s">
        <v>144</v>
      </c>
      <c r="C17" s="2" t="s">
        <v>141</v>
      </c>
      <c r="D17" s="2" t="s">
        <v>141</v>
      </c>
      <c r="E17" s="2" t="s">
        <v>36</v>
      </c>
      <c r="F17" s="20">
        <v>640</v>
      </c>
      <c r="G17" s="2">
        <v>640</v>
      </c>
      <c r="H17" s="3">
        <v>4.5999999999999996</v>
      </c>
      <c r="I17" s="3">
        <v>95.4</v>
      </c>
      <c r="J17" s="3">
        <v>62.64</v>
      </c>
      <c r="K17" s="3">
        <v>3.4767600000000001</v>
      </c>
      <c r="L17" s="3">
        <v>2.887</v>
      </c>
      <c r="M17" s="3">
        <v>4.0000000000000001E-3</v>
      </c>
      <c r="N17" s="3">
        <v>4.8000000000000001E-2</v>
      </c>
      <c r="O17" s="3">
        <v>6.3420000000000004E-2</v>
      </c>
      <c r="P17" s="3">
        <v>1.2E-2</v>
      </c>
      <c r="Q17" s="22">
        <v>3.67</v>
      </c>
    </row>
    <row r="18" spans="1:17" x14ac:dyDescent="0.3">
      <c r="A18" s="2">
        <v>35</v>
      </c>
      <c r="B18" s="2" t="s">
        <v>152</v>
      </c>
      <c r="C18" s="2" t="s">
        <v>149</v>
      </c>
      <c r="D18" s="2" t="s">
        <v>149</v>
      </c>
      <c r="E18" s="2" t="s">
        <v>154</v>
      </c>
      <c r="F18" s="20">
        <v>640</v>
      </c>
      <c r="G18" s="2">
        <v>640</v>
      </c>
      <c r="H18" s="3">
        <v>4.7300000000000004</v>
      </c>
      <c r="I18" s="3">
        <v>95.27</v>
      </c>
      <c r="J18" s="3">
        <v>57.63</v>
      </c>
      <c r="K18" s="3">
        <v>5.7769500000000003</v>
      </c>
      <c r="L18" s="3">
        <v>5.2729999999999997</v>
      </c>
      <c r="M18" s="3">
        <v>0</v>
      </c>
      <c r="N18" s="3">
        <v>6.6000000000000003E-2</v>
      </c>
      <c r="O18" s="3">
        <v>8.4260000000000002E-2</v>
      </c>
      <c r="P18" s="3">
        <v>6.5000000000000002E-2</v>
      </c>
      <c r="Q18" s="22">
        <v>6.1</v>
      </c>
    </row>
    <row r="19" spans="1:17" ht="15" hidden="1" thickBot="1" x14ac:dyDescent="0.35">
      <c r="A19" s="2">
        <v>37</v>
      </c>
      <c r="B19" s="2" t="s">
        <v>163</v>
      </c>
      <c r="C19" s="2" t="s">
        <v>159</v>
      </c>
      <c r="D19" s="2" t="s">
        <v>159</v>
      </c>
      <c r="E19" s="2" t="s">
        <v>36</v>
      </c>
      <c r="F19" s="17">
        <v>800</v>
      </c>
      <c r="G19" s="18">
        <v>800</v>
      </c>
      <c r="H19" s="19">
        <v>4.72</v>
      </c>
      <c r="I19" s="19">
        <v>95.28</v>
      </c>
      <c r="J19" s="19">
        <v>63.55</v>
      </c>
      <c r="K19" s="19">
        <v>1.80169</v>
      </c>
      <c r="L19" s="19">
        <v>2.2730000000000001</v>
      </c>
      <c r="M19" s="19">
        <v>0</v>
      </c>
      <c r="N19" s="19">
        <v>2.5999999999999999E-2</v>
      </c>
      <c r="O19" s="19">
        <v>0.1106</v>
      </c>
      <c r="P19" s="19">
        <v>8.9999999999999993E-3</v>
      </c>
      <c r="Q19" s="23">
        <v>4.67</v>
      </c>
    </row>
    <row r="20" spans="1:17" hidden="1" x14ac:dyDescent="0.3">
      <c r="A20" s="2">
        <v>38</v>
      </c>
      <c r="B20" s="2" t="s">
        <v>166</v>
      </c>
      <c r="C20" s="2" t="s">
        <v>168</v>
      </c>
      <c r="D20" s="2" t="s">
        <v>168</v>
      </c>
      <c r="E20" s="2" t="s">
        <v>36</v>
      </c>
      <c r="F20" s="2">
        <v>800</v>
      </c>
      <c r="G20" s="2">
        <v>800</v>
      </c>
      <c r="H20" s="3">
        <v>4.7300000000000004</v>
      </c>
      <c r="I20" s="3">
        <v>95.27</v>
      </c>
      <c r="J20" s="3">
        <v>61.07</v>
      </c>
      <c r="K20" s="3">
        <v>3.7012</v>
      </c>
      <c r="L20" s="3">
        <v>3.9630000000000001</v>
      </c>
      <c r="M20" s="3">
        <v>0</v>
      </c>
      <c r="N20" s="3">
        <v>4.8000000000000001E-2</v>
      </c>
      <c r="O20" s="3">
        <v>5.987E-2</v>
      </c>
      <c r="P20" s="3">
        <v>0.02</v>
      </c>
      <c r="Q20" s="3">
        <v>4.71</v>
      </c>
    </row>
    <row r="21" spans="1:17" ht="15" hidden="1" thickBot="1" x14ac:dyDescent="0.35">
      <c r="F21" s="10">
        <f>SUM(F5:F20)</f>
        <v>11745</v>
      </c>
      <c r="G21" s="11"/>
      <c r="H21" s="12">
        <f t="shared" ref="H21:I21" si="2">SUMPRODUCT($F$5:$F$20,H5:H20)/$F$21</f>
        <v>4.7493486590038314</v>
      </c>
      <c r="I21" s="12">
        <f t="shared" si="2"/>
        <v>95.250651340996185</v>
      </c>
      <c r="J21" s="12">
        <f>SUMPRODUCT($F$5:$F$20,J5:J20)/$F$21</f>
        <v>61.629868028948479</v>
      </c>
      <c r="K21" s="12">
        <f t="shared" ref="K21:Q21" si="3">SUMPRODUCT($F$5:$F$20,K5:K20)/$F$21</f>
        <v>3.3856150489570029</v>
      </c>
      <c r="L21" s="12">
        <f t="shared" si="3"/>
        <v>3.6152077479778635</v>
      </c>
      <c r="M21" s="12">
        <f t="shared" si="3"/>
        <v>2.1796509152830992E-4</v>
      </c>
      <c r="N21" s="12">
        <f t="shared" si="3"/>
        <v>5.2039165602383988E-2</v>
      </c>
      <c r="O21" s="12">
        <f t="shared" si="3"/>
        <v>7.541777777777775E-2</v>
      </c>
      <c r="P21" s="12">
        <f t="shared" si="3"/>
        <v>3.7262239250745004E-2</v>
      </c>
      <c r="Q21" s="12">
        <f t="shared" si="3"/>
        <v>4.5076628352490422</v>
      </c>
    </row>
  </sheetData>
  <autoFilter ref="A3:Q21" xr:uid="{00000000-0001-0000-0100-000000000000}">
    <filterColumn colId="9">
      <customFilters>
        <customFilter operator="lessThan" val="60"/>
      </customFilters>
    </filterColumn>
  </autoFilter>
  <mergeCells count="9">
    <mergeCell ref="A2:A4"/>
    <mergeCell ref="B2:B4"/>
    <mergeCell ref="C2:C4"/>
    <mergeCell ref="D2:D4"/>
    <mergeCell ref="J2:Q2"/>
    <mergeCell ref="E2:E4"/>
    <mergeCell ref="F2:F4"/>
    <mergeCell ref="G2:G4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D25"/>
  <sheetViews>
    <sheetView topLeftCell="L1" workbookViewId="0">
      <selection activeCell="G23" sqref="G23:Q23"/>
    </sheetView>
  </sheetViews>
  <sheetFormatPr defaultRowHeight="14.4" x14ac:dyDescent="0.3"/>
  <cols>
    <col min="1" max="1" width="6.21875" bestFit="1" customWidth="1"/>
    <col min="2" max="2" width="19" bestFit="1" customWidth="1"/>
    <col min="3" max="3" width="19.109375" bestFit="1" customWidth="1"/>
    <col min="4" max="4" width="17.21875" bestFit="1" customWidth="1"/>
    <col min="5" max="5" width="10.109375" bestFit="1" customWidth="1"/>
    <col min="6" max="6" width="13.109375" bestFit="1" customWidth="1"/>
    <col min="7" max="7" width="11.21875" bestFit="1" customWidth="1"/>
    <col min="8" max="9" width="17.77734375" bestFit="1" customWidth="1"/>
    <col min="10" max="10" width="12.77734375" bestFit="1" customWidth="1"/>
    <col min="11" max="11" width="17.77734375" bestFit="1" customWidth="1"/>
    <col min="12" max="12" width="14.5546875" bestFit="1" customWidth="1"/>
    <col min="13" max="13" width="14.88671875" bestFit="1" customWidth="1"/>
    <col min="14" max="14" width="9.21875" bestFit="1" customWidth="1"/>
    <col min="15" max="15" width="16" bestFit="1" customWidth="1"/>
    <col min="16" max="16" width="11.109375" bestFit="1" customWidth="1"/>
    <col min="17" max="17" width="8.6640625" bestFit="1" customWidth="1"/>
    <col min="18" max="18" width="7.44140625" bestFit="1" customWidth="1"/>
    <col min="19" max="19" width="6.77734375" bestFit="1" customWidth="1"/>
    <col min="20" max="20" width="6.6640625" bestFit="1" customWidth="1"/>
    <col min="21" max="22" width="7.77734375" bestFit="1" customWidth="1"/>
    <col min="23" max="23" width="5.77734375" bestFit="1" customWidth="1"/>
    <col min="24" max="24" width="5.44140625" bestFit="1" customWidth="1"/>
    <col min="25" max="25" width="5.77734375" bestFit="1" customWidth="1"/>
    <col min="26" max="26" width="7.77734375" bestFit="1" customWidth="1"/>
    <col min="27" max="27" width="5.77734375" bestFit="1" customWidth="1"/>
    <col min="28" max="28" width="4.77734375" bestFit="1" customWidth="1"/>
    <col min="29" max="29" width="21.6640625" bestFit="1" customWidth="1"/>
    <col min="30" max="30" width="13.77734375" bestFit="1" customWidth="1"/>
  </cols>
  <sheetData>
    <row r="2" spans="1:30" s="2" customFormat="1" x14ac:dyDescent="0.3">
      <c r="A2" s="73" t="s">
        <v>1</v>
      </c>
      <c r="B2" s="73" t="s">
        <v>2</v>
      </c>
      <c r="C2" s="73" t="s">
        <v>3</v>
      </c>
      <c r="D2" s="73" t="s">
        <v>4</v>
      </c>
      <c r="E2" s="73" t="s">
        <v>5</v>
      </c>
      <c r="F2" s="73" t="s">
        <v>6</v>
      </c>
      <c r="G2" s="1"/>
      <c r="H2" s="1"/>
      <c r="I2" s="1"/>
      <c r="J2" s="1"/>
      <c r="K2" s="1"/>
      <c r="L2" s="1"/>
      <c r="M2" s="1"/>
      <c r="N2" s="73" t="s">
        <v>7</v>
      </c>
      <c r="O2" s="73" t="s">
        <v>8</v>
      </c>
      <c r="P2" s="73" t="s">
        <v>9</v>
      </c>
      <c r="Q2" s="73" t="s">
        <v>10</v>
      </c>
      <c r="R2" s="73" t="s">
        <v>11</v>
      </c>
      <c r="S2" s="73" t="s">
        <v>12</v>
      </c>
      <c r="T2" s="74"/>
      <c r="U2" s="73" t="s">
        <v>15</v>
      </c>
      <c r="V2" s="74"/>
      <c r="W2" s="74"/>
      <c r="X2" s="74"/>
      <c r="Y2" s="74"/>
      <c r="Z2" s="74"/>
      <c r="AA2" s="74"/>
      <c r="AB2" s="74"/>
      <c r="AC2" s="73" t="s">
        <v>24</v>
      </c>
      <c r="AD2" s="73" t="s">
        <v>25</v>
      </c>
    </row>
    <row r="3" spans="1:30" s="2" customFormat="1" x14ac:dyDescent="0.3">
      <c r="A3" s="74"/>
      <c r="B3" s="74"/>
      <c r="C3" s="74"/>
      <c r="D3" s="74"/>
      <c r="E3" s="74"/>
      <c r="F3" s="74"/>
      <c r="G3" s="77" t="s">
        <v>383</v>
      </c>
      <c r="H3" s="77" t="s">
        <v>384</v>
      </c>
      <c r="I3" s="77" t="s">
        <v>385</v>
      </c>
      <c r="J3" s="77" t="s">
        <v>386</v>
      </c>
      <c r="K3" s="77" t="s">
        <v>387</v>
      </c>
      <c r="L3" s="77" t="s">
        <v>388</v>
      </c>
      <c r="M3" s="77" t="s">
        <v>389</v>
      </c>
      <c r="N3" s="74"/>
      <c r="O3" s="74"/>
      <c r="P3" s="74"/>
      <c r="Q3" s="74"/>
      <c r="R3" s="74"/>
      <c r="AC3" s="74"/>
      <c r="AD3" s="74"/>
    </row>
    <row r="4" spans="1:30" s="2" customFormat="1" ht="28.8" x14ac:dyDescent="0.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1" t="s">
        <v>13</v>
      </c>
      <c r="T4" s="1" t="s">
        <v>14</v>
      </c>
      <c r="U4" s="1" t="s">
        <v>16</v>
      </c>
      <c r="V4" s="1" t="s">
        <v>17</v>
      </c>
      <c r="W4" s="1" t="s">
        <v>18</v>
      </c>
      <c r="X4" s="1" t="s">
        <v>19</v>
      </c>
      <c r="Y4" s="1" t="s">
        <v>20</v>
      </c>
      <c r="Z4" s="1" t="s">
        <v>21</v>
      </c>
      <c r="AA4" s="1" t="s">
        <v>22</v>
      </c>
      <c r="AB4" s="1" t="s">
        <v>23</v>
      </c>
      <c r="AC4" s="74"/>
      <c r="AD4" s="74"/>
    </row>
    <row r="5" spans="1:30" x14ac:dyDescent="0.3">
      <c r="B5" s="78"/>
      <c r="C5" s="79"/>
      <c r="D5" s="79"/>
      <c r="E5" s="79"/>
      <c r="F5" s="79"/>
      <c r="G5" s="79"/>
      <c r="H5" s="79"/>
      <c r="I5" s="79"/>
      <c r="J5" s="79"/>
      <c r="K5" s="79"/>
    </row>
    <row r="6" spans="1:30" x14ac:dyDescent="0.3">
      <c r="A6" s="2">
        <v>7</v>
      </c>
      <c r="B6" s="2" t="s">
        <v>392</v>
      </c>
      <c r="C6" s="2" t="s">
        <v>37</v>
      </c>
      <c r="D6" s="2" t="s">
        <v>38</v>
      </c>
      <c r="E6" s="2" t="s">
        <v>29</v>
      </c>
      <c r="F6" s="2" t="s">
        <v>29</v>
      </c>
      <c r="G6" s="2" t="s">
        <v>186</v>
      </c>
      <c r="H6" s="2" t="s">
        <v>187</v>
      </c>
      <c r="I6" s="2" t="s">
        <v>188</v>
      </c>
      <c r="J6" s="2" t="s">
        <v>189</v>
      </c>
      <c r="K6" s="2" t="s">
        <v>190</v>
      </c>
      <c r="L6" s="2" t="s">
        <v>191</v>
      </c>
      <c r="M6" s="6">
        <v>0.46681712962871341</v>
      </c>
      <c r="N6" s="2" t="s">
        <v>30</v>
      </c>
      <c r="O6" s="2" t="s">
        <v>39</v>
      </c>
      <c r="P6" s="2" t="s">
        <v>36</v>
      </c>
      <c r="Q6" s="7">
        <v>815</v>
      </c>
      <c r="R6" s="2">
        <v>815</v>
      </c>
      <c r="S6" s="3">
        <v>4.84</v>
      </c>
      <c r="T6" s="8">
        <v>95.16</v>
      </c>
      <c r="U6" s="8">
        <v>64.27</v>
      </c>
      <c r="V6" s="8">
        <v>3.2066400000000002</v>
      </c>
      <c r="W6" s="8">
        <v>2.161</v>
      </c>
      <c r="X6" s="8">
        <v>0</v>
      </c>
      <c r="Y6" s="8">
        <v>4.8000000000000001E-2</v>
      </c>
      <c r="Z6" s="8">
        <v>3.3489999999999999E-2</v>
      </c>
      <c r="AA6" s="8">
        <v>8.0000000000000002E-3</v>
      </c>
      <c r="AB6" s="8">
        <v>2.54</v>
      </c>
      <c r="AC6" s="2" t="s">
        <v>431</v>
      </c>
    </row>
    <row r="7" spans="1:30" x14ac:dyDescent="0.3">
      <c r="A7" s="2">
        <v>9</v>
      </c>
      <c r="B7" s="2" t="s">
        <v>44</v>
      </c>
      <c r="C7" s="2" t="s">
        <v>45</v>
      </c>
      <c r="D7" s="2" t="s">
        <v>46</v>
      </c>
      <c r="E7" s="2" t="s">
        <v>43</v>
      </c>
      <c r="F7" s="2" t="s">
        <v>43</v>
      </c>
      <c r="G7" s="2" t="s">
        <v>198</v>
      </c>
      <c r="H7" s="2" t="s">
        <v>199</v>
      </c>
      <c r="I7" s="2" t="s">
        <v>200</v>
      </c>
      <c r="J7" s="2" t="s">
        <v>201</v>
      </c>
      <c r="K7" s="2" t="s">
        <v>202</v>
      </c>
      <c r="L7" s="2" t="s">
        <v>203</v>
      </c>
      <c r="M7" s="6">
        <v>0.45768518518435519</v>
      </c>
      <c r="N7" s="2" t="s">
        <v>30</v>
      </c>
      <c r="O7" s="2" t="s">
        <v>31</v>
      </c>
      <c r="P7" s="2" t="s">
        <v>36</v>
      </c>
      <c r="Q7" s="7">
        <v>1040</v>
      </c>
      <c r="R7" s="2">
        <v>1300</v>
      </c>
      <c r="S7" s="3">
        <v>4.88</v>
      </c>
      <c r="T7" s="8">
        <v>95.12</v>
      </c>
      <c r="U7" s="8">
        <v>61.94</v>
      </c>
      <c r="V7" s="8">
        <v>3.6643699999999999</v>
      </c>
      <c r="W7" s="8">
        <v>3.9</v>
      </c>
      <c r="X7" s="8">
        <v>0</v>
      </c>
      <c r="Y7" s="8">
        <v>6.4000000000000001E-2</v>
      </c>
      <c r="Z7" s="8">
        <v>4.7660000000000001E-2</v>
      </c>
      <c r="AA7" s="8">
        <v>3.5000000000000003E-2</v>
      </c>
      <c r="AB7" s="8">
        <v>3.57</v>
      </c>
      <c r="AC7" s="2" t="s">
        <v>47</v>
      </c>
    </row>
    <row r="8" spans="1:30" x14ac:dyDescent="0.3">
      <c r="A8" s="2">
        <v>11</v>
      </c>
      <c r="B8" s="2" t="s">
        <v>52</v>
      </c>
      <c r="C8" s="2" t="s">
        <v>53</v>
      </c>
      <c r="D8" s="2" t="s">
        <v>54</v>
      </c>
      <c r="E8" s="2" t="s">
        <v>51</v>
      </c>
      <c r="F8" s="2" t="s">
        <v>51</v>
      </c>
      <c r="G8" s="2" t="s">
        <v>210</v>
      </c>
      <c r="H8" s="2" t="s">
        <v>211</v>
      </c>
      <c r="I8" s="2" t="s">
        <v>212</v>
      </c>
      <c r="J8" s="2" t="s">
        <v>213</v>
      </c>
      <c r="K8" s="2" t="s">
        <v>214</v>
      </c>
      <c r="L8" s="2" t="s">
        <v>215</v>
      </c>
      <c r="M8" s="6">
        <v>0.32312500000241451</v>
      </c>
      <c r="N8" s="2" t="s">
        <v>30</v>
      </c>
      <c r="O8" s="2" t="s">
        <v>31</v>
      </c>
      <c r="P8" s="2" t="s">
        <v>36</v>
      </c>
      <c r="Q8" s="7">
        <v>800</v>
      </c>
      <c r="R8" s="2">
        <v>1000</v>
      </c>
      <c r="S8" s="3">
        <v>4.7699999999999996</v>
      </c>
      <c r="T8" s="8">
        <v>95.23</v>
      </c>
      <c r="U8" s="8">
        <v>65.81</v>
      </c>
      <c r="V8" s="8">
        <v>2.55071</v>
      </c>
      <c r="W8" s="8">
        <v>1.5309999999999999</v>
      </c>
      <c r="X8" s="8">
        <v>0</v>
      </c>
      <c r="Y8" s="8">
        <v>3.5999999999999997E-2</v>
      </c>
      <c r="Z8" s="8">
        <v>1.8620000000000001E-2</v>
      </c>
      <c r="AA8" s="8">
        <v>3.4000000000000002E-2</v>
      </c>
      <c r="AB8" s="8">
        <v>1.66</v>
      </c>
      <c r="AC8" s="2" t="s">
        <v>26</v>
      </c>
    </row>
    <row r="9" spans="1:30" x14ac:dyDescent="0.3">
      <c r="A9" s="2">
        <v>15</v>
      </c>
      <c r="B9" s="2" t="s">
        <v>70</v>
      </c>
      <c r="C9" s="2" t="s">
        <v>71</v>
      </c>
      <c r="D9" s="2" t="s">
        <v>72</v>
      </c>
      <c r="E9" s="2" t="s">
        <v>67</v>
      </c>
      <c r="F9" s="2" t="s">
        <v>67</v>
      </c>
      <c r="G9" s="2" t="s">
        <v>234</v>
      </c>
      <c r="H9" s="2" t="s">
        <v>235</v>
      </c>
      <c r="I9" s="2" t="s">
        <v>236</v>
      </c>
      <c r="J9" s="2" t="s">
        <v>237</v>
      </c>
      <c r="K9" s="2" t="s">
        <v>238</v>
      </c>
      <c r="L9" s="2" t="s">
        <v>239</v>
      </c>
      <c r="M9" s="6">
        <v>0.62299768518484022</v>
      </c>
      <c r="N9" s="2" t="s">
        <v>30</v>
      </c>
      <c r="O9" s="2" t="s">
        <v>73</v>
      </c>
      <c r="P9" s="2" t="s">
        <v>36</v>
      </c>
      <c r="Q9" s="7">
        <v>800</v>
      </c>
      <c r="R9" s="2">
        <v>800</v>
      </c>
      <c r="S9" s="3">
        <v>4.78</v>
      </c>
      <c r="T9" s="8">
        <v>95.22</v>
      </c>
      <c r="U9" s="8">
        <v>61.65</v>
      </c>
      <c r="V9" s="8">
        <v>5.6256300000000001</v>
      </c>
      <c r="W9" s="8">
        <v>2.94</v>
      </c>
      <c r="X9" s="8">
        <v>0</v>
      </c>
      <c r="Y9" s="8">
        <v>5.8000000000000003E-2</v>
      </c>
      <c r="Z9" s="8">
        <v>2.8879999999999999E-2</v>
      </c>
      <c r="AA9" s="8">
        <v>2.1000000000000001E-2</v>
      </c>
      <c r="AB9" s="8">
        <v>3.02</v>
      </c>
      <c r="AC9" s="2" t="s">
        <v>69</v>
      </c>
    </row>
    <row r="10" spans="1:30" x14ac:dyDescent="0.3">
      <c r="Q10">
        <f>SUM(Q6:Q9)</f>
        <v>3455</v>
      </c>
      <c r="S10">
        <f t="shared" ref="S10:T10" si="0">SUMPRODUCT($Q$6:$Q$9,S6:S9)/$Q$10</f>
        <v>4.8219392185238785</v>
      </c>
      <c r="T10" s="9">
        <f t="shared" si="0"/>
        <v>95.17806078147612</v>
      </c>
      <c r="U10" s="9">
        <f>SUMPRODUCT($Q$6:$Q$9,U6:U9)/$Q$10</f>
        <v>63.318567293777136</v>
      </c>
      <c r="V10" s="9">
        <f t="shared" ref="V10:AB10" si="1">SUMPRODUCT($Q$6:$Q$9,V6:V9)/$Q$10</f>
        <v>3.7526565557163534</v>
      </c>
      <c r="W10" s="9">
        <f t="shared" si="1"/>
        <v>2.7189623733719244</v>
      </c>
      <c r="X10" s="9">
        <f t="shared" si="1"/>
        <v>0</v>
      </c>
      <c r="Y10" s="9">
        <f t="shared" si="1"/>
        <v>5.2353111432706233E-2</v>
      </c>
      <c r="Z10" s="9">
        <f t="shared" si="1"/>
        <v>3.3244790159189581E-2</v>
      </c>
      <c r="AA10" s="9">
        <f t="shared" si="1"/>
        <v>2.5157742402315487E-2</v>
      </c>
      <c r="AB10" s="9">
        <f t="shared" si="1"/>
        <v>2.7574240231548481</v>
      </c>
    </row>
    <row r="25" spans="19:28" x14ac:dyDescent="0.3">
      <c r="S25" t="e">
        <f t="shared" ref="S25" si="2">SUMPRODUCT($Q$4:$Q$22,S6:S24)/$Q$23</f>
        <v>#DIV/0!</v>
      </c>
      <c r="T25" t="e">
        <f t="shared" ref="T25" si="3">SUMPRODUCT($Q$4:$Q$22,T6:T24)/$Q$23</f>
        <v>#DIV/0!</v>
      </c>
      <c r="V25" t="e">
        <f>SUMPRODUCT($Q$4:$Q$22,V6:V24)/$Q$23</f>
        <v>#DIV/0!</v>
      </c>
      <c r="W25" t="e">
        <f t="shared" ref="W25" si="4">SUMPRODUCT($Q$4:$Q$22,W6:W24)/$Q$23</f>
        <v>#DIV/0!</v>
      </c>
      <c r="X25" t="e">
        <f t="shared" ref="X25" si="5">SUMPRODUCT($Q$4:$Q$22,X6:X24)/$Q$23</f>
        <v>#DIV/0!</v>
      </c>
      <c r="Y25" t="e">
        <f t="shared" ref="Y25" si="6">SUMPRODUCT($Q$4:$Q$22,Y6:Y24)/$Q$23</f>
        <v>#DIV/0!</v>
      </c>
      <c r="Z25" t="e">
        <f t="shared" ref="Z25" si="7">SUMPRODUCT($Q$4:$Q$22,Z6:Z24)/$Q$23</f>
        <v>#DIV/0!</v>
      </c>
      <c r="AA25" t="e">
        <f t="shared" ref="AA25" si="8">SUMPRODUCT($Q$4:$Q$22,AA6:AA24)/$Q$23</f>
        <v>#DIV/0!</v>
      </c>
      <c r="AB25" t="e">
        <f t="shared" ref="AB25" si="9">SUMPRODUCT($Q$4:$Q$22,AB6:AB24)/$Q$23</f>
        <v>#DIV/0!</v>
      </c>
    </row>
  </sheetData>
  <mergeCells count="23">
    <mergeCell ref="B5:K5"/>
    <mergeCell ref="A2:A4"/>
    <mergeCell ref="B2:B4"/>
    <mergeCell ref="C2:C4"/>
    <mergeCell ref="D2:D4"/>
    <mergeCell ref="E2:E4"/>
    <mergeCell ref="F2:F4"/>
    <mergeCell ref="S2:T2"/>
    <mergeCell ref="U2:AB2"/>
    <mergeCell ref="AC2:AC4"/>
    <mergeCell ref="AD2:AD4"/>
    <mergeCell ref="G3:G4"/>
    <mergeCell ref="H3:H4"/>
    <mergeCell ref="I3:I4"/>
    <mergeCell ref="J3:J4"/>
    <mergeCell ref="K3:K4"/>
    <mergeCell ref="L3:L4"/>
    <mergeCell ref="M3:M4"/>
    <mergeCell ref="N2:N4"/>
    <mergeCell ref="O2:O4"/>
    <mergeCell ref="P2:P4"/>
    <mergeCell ref="Q2:Q4"/>
    <mergeCell ref="R2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8BA9-26FB-4C48-A222-7EAC3FB8C71E}">
  <dimension ref="A2:AB23"/>
  <sheetViews>
    <sheetView workbookViewId="0">
      <selection activeCell="G23" sqref="G23:Q23"/>
    </sheetView>
  </sheetViews>
  <sheetFormatPr defaultRowHeight="14.4" x14ac:dyDescent="0.3"/>
  <cols>
    <col min="1" max="1" width="6.21875" bestFit="1" customWidth="1"/>
    <col min="2" max="2" width="19.109375" bestFit="1" customWidth="1"/>
    <col min="3" max="3" width="10.109375" bestFit="1" customWidth="1"/>
    <col min="4" max="4" width="13.109375" bestFit="1" customWidth="1"/>
    <col min="5" max="5" width="9.21875" bestFit="1" customWidth="1"/>
    <col min="6" max="6" width="16" bestFit="1" customWidth="1"/>
    <col min="7" max="7" width="11.109375" bestFit="1" customWidth="1"/>
    <col min="8" max="8" width="8.6640625" bestFit="1" customWidth="1"/>
    <col min="9" max="9" width="6.77734375" bestFit="1" customWidth="1"/>
    <col min="10" max="10" width="6.6640625" bestFit="1" customWidth="1"/>
    <col min="11" max="12" width="7.77734375" bestFit="1" customWidth="1"/>
    <col min="13" max="13" width="5.77734375" bestFit="1" customWidth="1"/>
    <col min="14" max="14" width="5.44140625" bestFit="1" customWidth="1"/>
    <col min="15" max="15" width="5.77734375" bestFit="1" customWidth="1"/>
    <col min="16" max="16" width="7.77734375" bestFit="1" customWidth="1"/>
    <col min="17" max="17" width="5.77734375" bestFit="1" customWidth="1"/>
    <col min="18" max="18" width="7.33203125" bestFit="1" customWidth="1"/>
    <col min="19" max="20" width="7.33203125" customWidth="1"/>
    <col min="21" max="28" width="8.77734375" bestFit="1" customWidth="1"/>
  </cols>
  <sheetData>
    <row r="2" spans="1:28" s="2" customFormat="1" ht="43.2" x14ac:dyDescent="0.3">
      <c r="A2" s="35" t="s">
        <v>1</v>
      </c>
      <c r="B2" s="38" t="s">
        <v>434</v>
      </c>
      <c r="C2" s="35" t="s">
        <v>5</v>
      </c>
      <c r="D2" s="35" t="s">
        <v>6</v>
      </c>
      <c r="E2" s="35" t="s">
        <v>7</v>
      </c>
      <c r="F2" s="35" t="s">
        <v>8</v>
      </c>
      <c r="G2" s="35" t="s">
        <v>9</v>
      </c>
      <c r="H2" s="37" t="s">
        <v>435</v>
      </c>
      <c r="I2" s="81" t="s">
        <v>12</v>
      </c>
      <c r="J2" s="82"/>
      <c r="K2" s="81" t="s">
        <v>15</v>
      </c>
      <c r="L2" s="82"/>
      <c r="M2" s="82"/>
      <c r="N2" s="82"/>
      <c r="O2" s="82"/>
      <c r="P2" s="82"/>
      <c r="Q2" s="82"/>
      <c r="R2" s="82"/>
    </row>
    <row r="3" spans="1:28" s="2" customFormat="1" ht="29.4" thickBot="1" x14ac:dyDescent="0.35">
      <c r="A3" s="36"/>
      <c r="B3" s="36"/>
      <c r="C3" s="36"/>
      <c r="D3" s="36"/>
      <c r="E3" s="36"/>
      <c r="F3" s="36"/>
      <c r="G3" s="36"/>
      <c r="H3" s="36"/>
      <c r="I3" s="24" t="s">
        <v>13</v>
      </c>
      <c r="J3" s="24" t="s">
        <v>14</v>
      </c>
      <c r="K3" s="24" t="s">
        <v>16</v>
      </c>
      <c r="L3" s="24" t="s">
        <v>17</v>
      </c>
      <c r="M3" s="24" t="s">
        <v>18</v>
      </c>
      <c r="N3" s="24" t="s">
        <v>19</v>
      </c>
      <c r="O3" s="24" t="s">
        <v>20</v>
      </c>
      <c r="P3" s="24" t="s">
        <v>21</v>
      </c>
      <c r="Q3" s="24" t="s">
        <v>22</v>
      </c>
      <c r="R3" s="52" t="s">
        <v>23</v>
      </c>
      <c r="S3" s="1"/>
      <c r="T3" s="1"/>
    </row>
    <row r="4" spans="1:28" ht="15" thickBot="1" x14ac:dyDescent="0.35">
      <c r="A4" s="25">
        <v>1</v>
      </c>
      <c r="B4" s="80" t="s">
        <v>432</v>
      </c>
      <c r="C4" s="25" t="s">
        <v>29</v>
      </c>
      <c r="D4" s="26">
        <v>45867</v>
      </c>
      <c r="E4" s="25" t="s">
        <v>30</v>
      </c>
      <c r="F4" s="25" t="s">
        <v>39</v>
      </c>
      <c r="G4" s="25" t="s">
        <v>36</v>
      </c>
      <c r="H4" s="27">
        <v>815</v>
      </c>
      <c r="I4" s="28">
        <v>4.84</v>
      </c>
      <c r="J4" s="29">
        <v>95.16</v>
      </c>
      <c r="K4" s="29">
        <v>64.27</v>
      </c>
      <c r="L4" s="29">
        <v>3.2066400000000002</v>
      </c>
      <c r="M4" s="29">
        <v>2.161</v>
      </c>
      <c r="N4" s="29">
        <v>0</v>
      </c>
      <c r="O4" s="29">
        <v>4.8000000000000001E-2</v>
      </c>
      <c r="P4" s="29">
        <v>3.3489999999999999E-2</v>
      </c>
      <c r="Q4" s="51">
        <v>8.0000000000000002E-3</v>
      </c>
      <c r="R4" s="54">
        <v>2.54</v>
      </c>
      <c r="S4" s="57">
        <f t="shared" ref="S4" si="0">SUMPRODUCT($G$4:$G$10,H4:H10)/$R$4</f>
        <v>0</v>
      </c>
      <c r="T4" s="57">
        <f>SUMPRODUCT($G$4:$G$10,I4:I10)/$R$4</f>
        <v>0</v>
      </c>
      <c r="U4" s="57">
        <f>SUMPRODUCT($G$4:$G$10,J4:J10)/$R$4</f>
        <v>0</v>
      </c>
      <c r="V4" s="57">
        <f>SUMPRODUCT($G$4:$G$10,K4:K10)/$R$4</f>
        <v>0</v>
      </c>
      <c r="W4" s="57">
        <f t="shared" ref="W4:AB4" si="1">SUMPRODUCT($G$4:$G$10,L4:L10)/$R$4</f>
        <v>0</v>
      </c>
      <c r="X4" s="57">
        <f t="shared" si="1"/>
        <v>0</v>
      </c>
      <c r="Y4" s="57">
        <f t="shared" si="1"/>
        <v>0</v>
      </c>
      <c r="Z4" s="57">
        <f t="shared" si="1"/>
        <v>0</v>
      </c>
      <c r="AA4" s="57">
        <f t="shared" si="1"/>
        <v>0</v>
      </c>
      <c r="AB4" s="48">
        <f t="shared" si="1"/>
        <v>0</v>
      </c>
    </row>
    <row r="5" spans="1:28" x14ac:dyDescent="0.3">
      <c r="A5" s="25">
        <v>2</v>
      </c>
      <c r="B5" s="80"/>
      <c r="C5" s="25" t="s">
        <v>43</v>
      </c>
      <c r="D5" s="26">
        <v>45866</v>
      </c>
      <c r="E5" s="25" t="s">
        <v>30</v>
      </c>
      <c r="F5" s="25" t="s">
        <v>31</v>
      </c>
      <c r="G5" s="25" t="s">
        <v>36</v>
      </c>
      <c r="H5" s="27">
        <v>1040</v>
      </c>
      <c r="I5" s="28">
        <v>4.88</v>
      </c>
      <c r="J5" s="29">
        <v>95.12</v>
      </c>
      <c r="K5" s="29">
        <v>61.94</v>
      </c>
      <c r="L5" s="29">
        <v>3.6643699999999999</v>
      </c>
      <c r="M5" s="29">
        <v>3.9</v>
      </c>
      <c r="N5" s="29">
        <v>0</v>
      </c>
      <c r="O5" s="29">
        <v>6.4000000000000001E-2</v>
      </c>
      <c r="P5" s="29">
        <v>4.7660000000000001E-2</v>
      </c>
      <c r="Q5" s="29">
        <v>3.5000000000000003E-2</v>
      </c>
      <c r="R5" s="53">
        <v>3.57</v>
      </c>
      <c r="S5" s="59"/>
      <c r="T5" s="59"/>
    </row>
    <row r="6" spans="1:28" x14ac:dyDescent="0.3">
      <c r="A6" s="25">
        <v>3</v>
      </c>
      <c r="B6" s="80"/>
      <c r="C6" s="25" t="s">
        <v>51</v>
      </c>
      <c r="D6" s="26">
        <v>45865</v>
      </c>
      <c r="E6" s="25" t="s">
        <v>30</v>
      </c>
      <c r="F6" s="25" t="s">
        <v>31</v>
      </c>
      <c r="G6" s="25" t="s">
        <v>36</v>
      </c>
      <c r="H6" s="27">
        <v>800</v>
      </c>
      <c r="I6" s="28">
        <v>4.7699999999999996</v>
      </c>
      <c r="J6" s="29">
        <v>95.23</v>
      </c>
      <c r="K6" s="29">
        <v>65.81</v>
      </c>
      <c r="L6" s="29">
        <v>2.55071</v>
      </c>
      <c r="M6" s="29">
        <v>1.5309999999999999</v>
      </c>
      <c r="N6" s="29">
        <v>0</v>
      </c>
      <c r="O6" s="29">
        <v>3.5999999999999997E-2</v>
      </c>
      <c r="P6" s="29">
        <v>1.8620000000000001E-2</v>
      </c>
      <c r="Q6" s="29">
        <v>3.4000000000000002E-2</v>
      </c>
      <c r="R6" s="46">
        <v>1.66</v>
      </c>
      <c r="S6" s="59"/>
      <c r="T6" s="59"/>
    </row>
    <row r="7" spans="1:28" ht="15" thickBot="1" x14ac:dyDescent="0.35">
      <c r="A7" s="25">
        <v>4</v>
      </c>
      <c r="B7" s="80"/>
      <c r="C7" s="25" t="s">
        <v>67</v>
      </c>
      <c r="D7" s="26">
        <v>45861</v>
      </c>
      <c r="E7" s="25" t="s">
        <v>30</v>
      </c>
      <c r="F7" s="25" t="s">
        <v>73</v>
      </c>
      <c r="G7" s="30" t="s">
        <v>36</v>
      </c>
      <c r="H7" s="31">
        <v>800</v>
      </c>
      <c r="I7" s="32">
        <v>4.78</v>
      </c>
      <c r="J7" s="33">
        <v>95.22</v>
      </c>
      <c r="K7" s="33">
        <v>61.65</v>
      </c>
      <c r="L7" s="33">
        <v>5.6256300000000001</v>
      </c>
      <c r="M7" s="33">
        <v>2.94</v>
      </c>
      <c r="N7" s="33">
        <v>0</v>
      </c>
      <c r="O7" s="33">
        <v>5.8000000000000003E-2</v>
      </c>
      <c r="P7" s="33">
        <v>2.8879999999999999E-2</v>
      </c>
      <c r="Q7" s="33">
        <v>2.1000000000000001E-2</v>
      </c>
      <c r="R7" s="47">
        <v>3.02</v>
      </c>
      <c r="S7" s="59"/>
      <c r="T7" s="59"/>
    </row>
    <row r="8" spans="1:28" ht="15" thickBot="1" x14ac:dyDescent="0.35">
      <c r="G8" s="10" t="s">
        <v>433</v>
      </c>
      <c r="H8" s="34">
        <f>SUM(H4:H7)</f>
        <v>3455</v>
      </c>
      <c r="I8" s="12">
        <f t="shared" ref="I8:J8" si="2">SUMPRODUCT($H$4:$H$7,I4:I7)/$H$8</f>
        <v>4.8219392185238785</v>
      </c>
      <c r="J8" s="12">
        <f t="shared" si="2"/>
        <v>95.17806078147612</v>
      </c>
      <c r="K8" s="12">
        <f>SUMPRODUCT($H$4:$H$7,K4:K7)/$H$8</f>
        <v>63.318567293777136</v>
      </c>
      <c r="L8" s="12">
        <f t="shared" ref="L8:R8" si="3">SUMPRODUCT($H$4:$H$7,L4:L7)/$H$8</f>
        <v>3.7526565557163534</v>
      </c>
      <c r="M8" s="12">
        <f t="shared" si="3"/>
        <v>2.7189623733719244</v>
      </c>
      <c r="N8" s="12">
        <f t="shared" si="3"/>
        <v>0</v>
      </c>
      <c r="O8" s="12">
        <f t="shared" si="3"/>
        <v>5.2353111432706233E-2</v>
      </c>
      <c r="P8" s="12">
        <f t="shared" si="3"/>
        <v>3.3244790159189581E-2</v>
      </c>
      <c r="Q8" s="12">
        <f t="shared" si="3"/>
        <v>2.5157742402315487E-2</v>
      </c>
      <c r="R8" s="48">
        <f t="shared" si="3"/>
        <v>2.7574240231548481</v>
      </c>
      <c r="S8" s="60"/>
      <c r="T8" s="60"/>
    </row>
    <row r="10" spans="1:28" x14ac:dyDescent="0.3">
      <c r="B10" s="2"/>
    </row>
    <row r="11" spans="1:28" x14ac:dyDescent="0.3">
      <c r="B11" s="2"/>
      <c r="R11">
        <v>2.54</v>
      </c>
      <c r="U11">
        <v>63.219152542372903</v>
      </c>
      <c r="V11">
        <v>2.2314247457627099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B12" s="2"/>
    </row>
    <row r="13" spans="1:28" x14ac:dyDescent="0.3">
      <c r="B13" s="2"/>
    </row>
    <row r="23" spans="9:18" x14ac:dyDescent="0.3">
      <c r="I23" t="e">
        <f>SUMPRODUCT($H$3:$H$20,I4:I22)/$H$21</f>
        <v>#VALUE!</v>
      </c>
      <c r="J23" t="e">
        <f>SUMPRODUCT($H$3:$H$20,J4:J22)/$H$21</f>
        <v>#VALUE!</v>
      </c>
      <c r="L23" t="e">
        <f t="shared" ref="L23:R23" si="4">SUMPRODUCT($H$3:$H$20,L4:L22)/$H$21</f>
        <v>#VALUE!</v>
      </c>
      <c r="M23" t="e">
        <f t="shared" si="4"/>
        <v>#VALUE!</v>
      </c>
      <c r="N23" t="e">
        <f t="shared" si="4"/>
        <v>#VALUE!</v>
      </c>
      <c r="O23" t="e">
        <f t="shared" si="4"/>
        <v>#VALUE!</v>
      </c>
      <c r="P23" t="e">
        <f t="shared" si="4"/>
        <v>#VALUE!</v>
      </c>
      <c r="Q23" t="e">
        <f t="shared" si="4"/>
        <v>#VALUE!</v>
      </c>
      <c r="R23" t="e">
        <f t="shared" si="4"/>
        <v>#VALUE!</v>
      </c>
    </row>
  </sheetData>
  <mergeCells count="3">
    <mergeCell ref="B4:B7"/>
    <mergeCell ref="K2:R2"/>
    <mergeCell ref="I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D26"/>
  <sheetViews>
    <sheetView topLeftCell="P1" workbookViewId="0">
      <selection activeCell="G23" sqref="G23:Q23"/>
    </sheetView>
  </sheetViews>
  <sheetFormatPr defaultRowHeight="14.4" x14ac:dyDescent="0.3"/>
  <cols>
    <col min="1" max="1" width="11.109375" customWidth="1"/>
    <col min="2" max="2" width="19" bestFit="1" customWidth="1"/>
    <col min="3" max="3" width="19.109375" bestFit="1" customWidth="1"/>
    <col min="4" max="4" width="17.21875" bestFit="1" customWidth="1"/>
    <col min="5" max="16" width="11.109375" customWidth="1"/>
    <col min="17" max="17" width="13.44140625" customWidth="1"/>
    <col min="18" max="29" width="11.109375" customWidth="1"/>
  </cols>
  <sheetData>
    <row r="1" spans="1:30" x14ac:dyDescent="0.3">
      <c r="A1" s="73" t="s">
        <v>1</v>
      </c>
      <c r="B1" s="73" t="s">
        <v>2</v>
      </c>
      <c r="C1" s="73" t="s">
        <v>3</v>
      </c>
      <c r="D1" s="73" t="s">
        <v>4</v>
      </c>
      <c r="E1" s="73" t="s">
        <v>5</v>
      </c>
      <c r="F1" s="73" t="s">
        <v>6</v>
      </c>
      <c r="G1" s="1"/>
      <c r="H1" s="1"/>
      <c r="I1" s="1"/>
      <c r="J1" s="1"/>
      <c r="K1" s="1"/>
      <c r="L1" s="1"/>
      <c r="M1" s="1"/>
      <c r="N1" s="73" t="s">
        <v>7</v>
      </c>
      <c r="O1" s="73" t="s">
        <v>8</v>
      </c>
      <c r="P1" s="73" t="s">
        <v>9</v>
      </c>
      <c r="Q1" s="73" t="s">
        <v>10</v>
      </c>
      <c r="R1" s="73" t="s">
        <v>11</v>
      </c>
      <c r="S1" s="73" t="s">
        <v>12</v>
      </c>
      <c r="T1" s="74"/>
      <c r="U1" s="73" t="s">
        <v>15</v>
      </c>
      <c r="V1" s="74"/>
      <c r="W1" s="74"/>
      <c r="X1" s="74"/>
      <c r="Y1" s="74"/>
      <c r="Z1" s="74"/>
      <c r="AA1" s="74"/>
      <c r="AB1" s="74"/>
      <c r="AC1" s="73" t="s">
        <v>24</v>
      </c>
      <c r="AD1" s="73" t="s">
        <v>25</v>
      </c>
    </row>
    <row r="2" spans="1:30" x14ac:dyDescent="0.3">
      <c r="A2" s="74"/>
      <c r="B2" s="74"/>
      <c r="C2" s="74"/>
      <c r="D2" s="74"/>
      <c r="E2" s="74"/>
      <c r="F2" s="74"/>
      <c r="G2" s="77" t="s">
        <v>383</v>
      </c>
      <c r="H2" s="77" t="s">
        <v>384</v>
      </c>
      <c r="I2" s="77" t="s">
        <v>385</v>
      </c>
      <c r="J2" s="77" t="s">
        <v>386</v>
      </c>
      <c r="K2" s="77" t="s">
        <v>387</v>
      </c>
      <c r="L2" s="77" t="s">
        <v>388</v>
      </c>
      <c r="M2" s="77" t="s">
        <v>389</v>
      </c>
      <c r="N2" s="74"/>
      <c r="O2" s="74"/>
      <c r="P2" s="74"/>
      <c r="Q2" s="74"/>
      <c r="R2" s="74"/>
      <c r="S2" s="2"/>
      <c r="T2" s="2"/>
      <c r="U2" s="2"/>
      <c r="V2" s="2"/>
      <c r="W2" s="2"/>
      <c r="X2" s="2"/>
      <c r="Y2" s="2"/>
      <c r="Z2" s="2"/>
      <c r="AA2" s="2"/>
      <c r="AB2" s="2"/>
      <c r="AC2" s="74"/>
      <c r="AD2" s="74"/>
    </row>
    <row r="3" spans="1:30" x14ac:dyDescent="0.3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1" t="s">
        <v>13</v>
      </c>
      <c r="T3" s="1" t="s">
        <v>14</v>
      </c>
      <c r="U3" s="1" t="s">
        <v>16</v>
      </c>
      <c r="V3" s="1" t="s">
        <v>17</v>
      </c>
      <c r="W3" s="1" t="s">
        <v>18</v>
      </c>
      <c r="X3" s="1" t="s">
        <v>19</v>
      </c>
      <c r="Y3" s="1" t="s">
        <v>20</v>
      </c>
      <c r="Z3" s="1" t="s">
        <v>21</v>
      </c>
      <c r="AA3" s="1" t="s">
        <v>22</v>
      </c>
      <c r="AB3" s="1" t="s">
        <v>23</v>
      </c>
      <c r="AC3" s="74"/>
      <c r="AD3" s="74"/>
    </row>
    <row r="4" spans="1:30" x14ac:dyDescent="0.3">
      <c r="A4" s="2">
        <v>1</v>
      </c>
      <c r="B4" s="2" t="s">
        <v>393</v>
      </c>
      <c r="C4" s="2" t="s">
        <v>394</v>
      </c>
      <c r="D4" s="2" t="s">
        <v>395</v>
      </c>
      <c r="E4" s="5">
        <v>45870</v>
      </c>
      <c r="F4" s="4">
        <v>45869</v>
      </c>
      <c r="G4" s="2" t="s">
        <v>396</v>
      </c>
      <c r="H4" s="2" t="s">
        <v>397</v>
      </c>
      <c r="I4" s="2" t="s">
        <v>398</v>
      </c>
      <c r="J4" s="2" t="s">
        <v>177</v>
      </c>
      <c r="K4" s="2" t="s">
        <v>399</v>
      </c>
      <c r="L4" s="2" t="s">
        <v>400</v>
      </c>
      <c r="M4" s="6">
        <v>0.30980324074056831</v>
      </c>
      <c r="N4" s="2" t="s">
        <v>30</v>
      </c>
      <c r="O4" s="2" t="s">
        <v>31</v>
      </c>
      <c r="P4" s="2" t="s">
        <v>32</v>
      </c>
      <c r="Q4" s="2">
        <v>200</v>
      </c>
      <c r="R4" s="2">
        <v>200</v>
      </c>
      <c r="S4" s="3">
        <v>3.69</v>
      </c>
      <c r="T4" s="3">
        <v>4.92</v>
      </c>
      <c r="U4" s="8">
        <v>61.75</v>
      </c>
      <c r="V4" s="8">
        <v>2.9037299999999999</v>
      </c>
      <c r="W4" s="8">
        <v>3.6890000000000001</v>
      </c>
      <c r="X4" s="8">
        <v>0</v>
      </c>
      <c r="Y4" s="8">
        <v>4.4999999999999998E-2</v>
      </c>
      <c r="Z4" s="8">
        <v>9.715E-2</v>
      </c>
      <c r="AA4" s="8">
        <v>1.7000000000000001E-2</v>
      </c>
      <c r="AB4" s="8">
        <v>4.74</v>
      </c>
      <c r="AC4" s="2" t="s">
        <v>401</v>
      </c>
      <c r="AD4" s="2"/>
    </row>
    <row r="5" spans="1:30" hidden="1" x14ac:dyDescent="0.3">
      <c r="A5" s="2">
        <v>3</v>
      </c>
      <c r="B5" s="2" t="s">
        <v>412</v>
      </c>
      <c r="C5" s="2" t="s">
        <v>413</v>
      </c>
      <c r="D5" s="2" t="s">
        <v>414</v>
      </c>
      <c r="E5" s="4">
        <v>45869</v>
      </c>
      <c r="F5" s="2" t="s">
        <v>29</v>
      </c>
      <c r="G5" s="2" t="s">
        <v>415</v>
      </c>
      <c r="H5" s="2" t="s">
        <v>416</v>
      </c>
      <c r="I5" s="2" t="s">
        <v>417</v>
      </c>
      <c r="J5" s="2" t="s">
        <v>418</v>
      </c>
      <c r="K5" s="2" t="s">
        <v>419</v>
      </c>
      <c r="L5" s="2" t="s">
        <v>420</v>
      </c>
      <c r="M5" s="6">
        <v>0.33046296296241323</v>
      </c>
      <c r="N5" s="2" t="s">
        <v>30</v>
      </c>
      <c r="O5" s="2" t="s">
        <v>31</v>
      </c>
      <c r="P5" s="2" t="s">
        <v>32</v>
      </c>
      <c r="Q5" s="2">
        <v>140</v>
      </c>
      <c r="R5" s="2">
        <v>140</v>
      </c>
      <c r="S5" s="3">
        <v>4.7699999999999996</v>
      </c>
      <c r="T5" s="3">
        <v>4.84</v>
      </c>
      <c r="U5" s="8">
        <v>64.81</v>
      </c>
      <c r="V5" s="8">
        <v>1.73552</v>
      </c>
      <c r="W5" s="8">
        <v>2.2349999999999999</v>
      </c>
      <c r="X5" s="8">
        <v>0</v>
      </c>
      <c r="Y5" s="8">
        <v>2.9000000000000001E-2</v>
      </c>
      <c r="Z5" s="8">
        <v>5.6099999999999997E-2</v>
      </c>
      <c r="AA5" s="8">
        <v>1.2999999999999999E-2</v>
      </c>
      <c r="AB5" s="8">
        <v>3.14</v>
      </c>
      <c r="AC5" s="2" t="s">
        <v>421</v>
      </c>
      <c r="AD5" s="2"/>
    </row>
    <row r="6" spans="1:30" hidden="1" x14ac:dyDescent="0.3">
      <c r="A6" s="2">
        <v>5</v>
      </c>
      <c r="B6" s="2" t="s">
        <v>390</v>
      </c>
      <c r="C6" s="2" t="s">
        <v>27</v>
      </c>
      <c r="D6" s="2" t="s">
        <v>28</v>
      </c>
      <c r="E6" s="2" t="s">
        <v>29</v>
      </c>
      <c r="F6" s="2" t="s">
        <v>29</v>
      </c>
      <c r="G6" s="2" t="s">
        <v>174</v>
      </c>
      <c r="H6" s="2" t="s">
        <v>175</v>
      </c>
      <c r="I6" s="2" t="s">
        <v>176</v>
      </c>
      <c r="J6" s="2" t="s">
        <v>177</v>
      </c>
      <c r="K6" s="2" t="s">
        <v>178</v>
      </c>
      <c r="L6" s="2" t="s">
        <v>179</v>
      </c>
      <c r="M6" s="6">
        <v>0.4627199074067283</v>
      </c>
      <c r="N6" s="2" t="s">
        <v>30</v>
      </c>
      <c r="O6" s="2" t="s">
        <v>31</v>
      </c>
      <c r="P6" s="2" t="s">
        <v>32</v>
      </c>
      <c r="Q6" s="2">
        <v>300</v>
      </c>
      <c r="R6" s="2">
        <v>300</v>
      </c>
      <c r="S6" s="3">
        <v>4.55</v>
      </c>
      <c r="T6" s="3">
        <v>4.87</v>
      </c>
      <c r="U6" s="8">
        <v>64.38</v>
      </c>
      <c r="V6" s="8">
        <v>1.6752899999999999</v>
      </c>
      <c r="W6" s="8">
        <v>2.3010000000000002</v>
      </c>
      <c r="X6" s="8">
        <v>0</v>
      </c>
      <c r="Y6" s="8">
        <v>2.1000000000000001E-2</v>
      </c>
      <c r="Z6" s="8">
        <v>5.9450000000000003E-2</v>
      </c>
      <c r="AA6" s="8">
        <v>0.114</v>
      </c>
      <c r="AB6" s="8">
        <v>3.64</v>
      </c>
      <c r="AC6" s="2" t="s">
        <v>33</v>
      </c>
      <c r="AD6" s="2" t="s">
        <v>26</v>
      </c>
    </row>
    <row r="7" spans="1:30" hidden="1" x14ac:dyDescent="0.3">
      <c r="A7" s="2">
        <v>8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43</v>
      </c>
      <c r="G7" s="2" t="s">
        <v>192</v>
      </c>
      <c r="H7" s="2" t="s">
        <v>193</v>
      </c>
      <c r="I7" s="2" t="s">
        <v>194</v>
      </c>
      <c r="J7" s="2" t="s">
        <v>195</v>
      </c>
      <c r="K7" s="2" t="s">
        <v>196</v>
      </c>
      <c r="L7" s="2" t="s">
        <v>197</v>
      </c>
      <c r="M7" s="6">
        <v>0.45724537037177165</v>
      </c>
      <c r="N7" s="2" t="s">
        <v>30</v>
      </c>
      <c r="O7" s="2" t="s">
        <v>31</v>
      </c>
      <c r="P7" s="2" t="s">
        <v>32</v>
      </c>
      <c r="Q7" s="2">
        <v>260</v>
      </c>
      <c r="R7" s="2">
        <v>1300</v>
      </c>
      <c r="S7" s="3">
        <v>4.66</v>
      </c>
      <c r="T7" s="3">
        <v>4.8099999999999996</v>
      </c>
      <c r="U7" s="8">
        <v>64.5</v>
      </c>
      <c r="V7" s="8">
        <v>1.3253299999999999</v>
      </c>
      <c r="W7" s="8">
        <v>2.6739999999999999</v>
      </c>
      <c r="X7" s="8">
        <v>0</v>
      </c>
      <c r="Y7" s="8">
        <v>1.9E-2</v>
      </c>
      <c r="Z7" s="8">
        <v>5.4260000000000003E-2</v>
      </c>
      <c r="AA7" s="8">
        <v>9.4E-2</v>
      </c>
      <c r="AB7" s="8">
        <v>3.46</v>
      </c>
      <c r="AC7" s="2" t="s">
        <v>26</v>
      </c>
      <c r="AD7" s="2" t="s">
        <v>26</v>
      </c>
    </row>
    <row r="8" spans="1:30" hidden="1" x14ac:dyDescent="0.3">
      <c r="A8" s="2">
        <v>10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51</v>
      </c>
      <c r="G8" s="2" t="s">
        <v>204</v>
      </c>
      <c r="H8" s="2" t="s">
        <v>205</v>
      </c>
      <c r="I8" s="2" t="s">
        <v>206</v>
      </c>
      <c r="J8" s="2" t="s">
        <v>207</v>
      </c>
      <c r="K8" s="2" t="s">
        <v>208</v>
      </c>
      <c r="L8" s="2" t="s">
        <v>209</v>
      </c>
      <c r="M8" s="6">
        <v>0.32266203703813651</v>
      </c>
      <c r="N8" s="2" t="s">
        <v>30</v>
      </c>
      <c r="O8" s="2" t="s">
        <v>31</v>
      </c>
      <c r="P8" s="2" t="s">
        <v>32</v>
      </c>
      <c r="Q8" s="2">
        <v>200</v>
      </c>
      <c r="R8" s="2">
        <v>1000</v>
      </c>
      <c r="S8" s="3">
        <v>4.5199999999999996</v>
      </c>
      <c r="T8" s="3">
        <v>4.84</v>
      </c>
      <c r="U8" s="8">
        <v>62.63</v>
      </c>
      <c r="V8" s="8">
        <v>1.62754</v>
      </c>
      <c r="W8" s="8">
        <v>4.5460000000000003</v>
      </c>
      <c r="X8" s="8">
        <v>0</v>
      </c>
      <c r="Y8" s="8">
        <v>2.4E-2</v>
      </c>
      <c r="Z8" s="8">
        <v>6.54E-2</v>
      </c>
      <c r="AA8" s="8">
        <v>1.6E-2</v>
      </c>
      <c r="AB8" s="8">
        <v>4.05</v>
      </c>
      <c r="AC8" s="2" t="s">
        <v>26</v>
      </c>
      <c r="AD8" s="2" t="s">
        <v>26</v>
      </c>
    </row>
    <row r="9" spans="1:30" hidden="1" x14ac:dyDescent="0.3">
      <c r="A9" s="2">
        <v>12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58</v>
      </c>
      <c r="G9" s="2" t="s">
        <v>216</v>
      </c>
      <c r="H9" s="2" t="s">
        <v>217</v>
      </c>
      <c r="I9" s="2" t="s">
        <v>218</v>
      </c>
      <c r="J9" s="2" t="s">
        <v>219</v>
      </c>
      <c r="K9" s="2" t="s">
        <v>220</v>
      </c>
      <c r="L9" s="2" t="s">
        <v>221</v>
      </c>
      <c r="M9" s="6">
        <v>0.9117129629613353</v>
      </c>
      <c r="N9" s="2" t="s">
        <v>30</v>
      </c>
      <c r="O9" s="2" t="s">
        <v>59</v>
      </c>
      <c r="P9" s="2" t="s">
        <v>32</v>
      </c>
      <c r="Q9" s="2">
        <v>200</v>
      </c>
      <c r="R9" s="2">
        <v>200</v>
      </c>
      <c r="S9" s="3">
        <v>4.67</v>
      </c>
      <c r="T9" s="3">
        <v>4.8499999999999996</v>
      </c>
      <c r="U9" s="8">
        <v>64.849999999999994</v>
      </c>
      <c r="V9" s="8">
        <v>2.6828500000000002</v>
      </c>
      <c r="W9" s="8">
        <v>1.607</v>
      </c>
      <c r="X9" s="8">
        <v>0</v>
      </c>
      <c r="Y9" s="8">
        <v>5.8999999999999997E-2</v>
      </c>
      <c r="Z9" s="8">
        <v>4.8489999999999998E-2</v>
      </c>
      <c r="AA9" s="8">
        <v>7.0000000000000001E-3</v>
      </c>
      <c r="AB9" s="8">
        <v>2.74</v>
      </c>
      <c r="AC9" s="2" t="s">
        <v>60</v>
      </c>
      <c r="AD9" s="2" t="s">
        <v>26</v>
      </c>
    </row>
    <row r="10" spans="1:30" hidden="1" x14ac:dyDescent="0.3">
      <c r="A10" s="2">
        <v>14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67</v>
      </c>
      <c r="G10" s="2" t="s">
        <v>228</v>
      </c>
      <c r="H10" s="2" t="s">
        <v>229</v>
      </c>
      <c r="I10" s="2" t="s">
        <v>230</v>
      </c>
      <c r="J10" s="2" t="s">
        <v>231</v>
      </c>
      <c r="K10" s="2" t="s">
        <v>232</v>
      </c>
      <c r="L10" s="2" t="s">
        <v>233</v>
      </c>
      <c r="M10" s="6">
        <v>0.99953703703549557</v>
      </c>
      <c r="N10" s="2" t="s">
        <v>30</v>
      </c>
      <c r="O10" s="2" t="s">
        <v>68</v>
      </c>
      <c r="P10" s="2" t="s">
        <v>32</v>
      </c>
      <c r="Q10" s="2">
        <v>200</v>
      </c>
      <c r="R10" s="2">
        <v>200</v>
      </c>
      <c r="S10" s="3">
        <v>4.55</v>
      </c>
      <c r="T10" s="3">
        <v>4.87</v>
      </c>
      <c r="U10" s="8">
        <v>62.52</v>
      </c>
      <c r="V10" s="8">
        <v>2.81026</v>
      </c>
      <c r="W10" s="8">
        <v>3.9689999999999999</v>
      </c>
      <c r="X10" s="8">
        <v>0</v>
      </c>
      <c r="Y10" s="8">
        <v>2.1000000000000001E-2</v>
      </c>
      <c r="Z10" s="8">
        <v>4.0469999999999999E-2</v>
      </c>
      <c r="AA10" s="8">
        <v>5.1999999999999998E-2</v>
      </c>
      <c r="AB10" s="8">
        <v>3.59</v>
      </c>
      <c r="AC10" s="2" t="s">
        <v>69</v>
      </c>
      <c r="AD10" s="2" t="s">
        <v>26</v>
      </c>
    </row>
    <row r="11" spans="1:30" hidden="1" x14ac:dyDescent="0.3">
      <c r="A11" s="2">
        <v>16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77</v>
      </c>
      <c r="G11" s="2" t="s">
        <v>240</v>
      </c>
      <c r="H11" s="2" t="s">
        <v>241</v>
      </c>
      <c r="I11" s="2" t="s">
        <v>242</v>
      </c>
      <c r="J11" s="2" t="s">
        <v>243</v>
      </c>
      <c r="K11" s="2" t="s">
        <v>244</v>
      </c>
      <c r="L11" s="2" t="s">
        <v>245</v>
      </c>
      <c r="M11" s="6">
        <v>1.0470254629678029</v>
      </c>
      <c r="N11" s="2" t="s">
        <v>30</v>
      </c>
      <c r="O11" s="2" t="s">
        <v>59</v>
      </c>
      <c r="P11" s="2" t="s">
        <v>32</v>
      </c>
      <c r="Q11" s="2">
        <v>200</v>
      </c>
      <c r="R11" s="2">
        <v>200</v>
      </c>
      <c r="S11" s="3">
        <v>4.47</v>
      </c>
      <c r="T11" s="3">
        <v>4.75</v>
      </c>
      <c r="U11" s="8">
        <v>63.16</v>
      </c>
      <c r="V11" s="8">
        <v>2.9662600000000001</v>
      </c>
      <c r="W11" s="8">
        <v>2.9620000000000002</v>
      </c>
      <c r="X11" s="8">
        <v>0</v>
      </c>
      <c r="Y11" s="8">
        <v>6.8000000000000005E-2</v>
      </c>
      <c r="Z11" s="8">
        <v>5.2299999999999999E-2</v>
      </c>
      <c r="AA11" s="8">
        <v>3.5999999999999997E-2</v>
      </c>
      <c r="AB11" s="8">
        <v>3.48</v>
      </c>
      <c r="AC11" s="2" t="s">
        <v>78</v>
      </c>
      <c r="AD11" s="2" t="s">
        <v>26</v>
      </c>
    </row>
    <row r="12" spans="1:30" hidden="1" x14ac:dyDescent="0.3">
      <c r="A12" s="2">
        <v>18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85</v>
      </c>
      <c r="G12" s="2" t="s">
        <v>252</v>
      </c>
      <c r="H12" s="2" t="s">
        <v>253</v>
      </c>
      <c r="I12" s="2" t="s">
        <v>254</v>
      </c>
      <c r="J12" s="2" t="s">
        <v>255</v>
      </c>
      <c r="K12" s="2" t="s">
        <v>256</v>
      </c>
      <c r="L12" s="2" t="s">
        <v>257</v>
      </c>
      <c r="M12" s="6">
        <v>0.26900462962892902</v>
      </c>
      <c r="N12" s="2" t="s">
        <v>30</v>
      </c>
      <c r="O12" s="2" t="s">
        <v>31</v>
      </c>
      <c r="P12" s="2" t="s">
        <v>32</v>
      </c>
      <c r="Q12" s="2">
        <v>200</v>
      </c>
      <c r="R12" s="2">
        <v>1000</v>
      </c>
      <c r="S12" s="3">
        <v>4.33</v>
      </c>
      <c r="T12" s="3">
        <v>4.68</v>
      </c>
      <c r="U12" s="8">
        <v>65.31</v>
      </c>
      <c r="V12" s="8">
        <v>1.6212599999999999</v>
      </c>
      <c r="W12" s="8">
        <v>1.6</v>
      </c>
      <c r="X12" s="8">
        <v>0</v>
      </c>
      <c r="Y12" s="8">
        <v>0.02</v>
      </c>
      <c r="Z12" s="8">
        <v>6.0850000000000001E-2</v>
      </c>
      <c r="AA12" s="8">
        <v>2.5999999999999999E-2</v>
      </c>
      <c r="AB12" s="8">
        <v>3.15</v>
      </c>
      <c r="AC12" s="2" t="s">
        <v>86</v>
      </c>
      <c r="AD12" s="2" t="s">
        <v>86</v>
      </c>
    </row>
    <row r="13" spans="1:30" x14ac:dyDescent="0.3">
      <c r="A13" s="2">
        <v>20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93</v>
      </c>
      <c r="G13" s="2" t="s">
        <v>264</v>
      </c>
      <c r="H13" s="2" t="s">
        <v>265</v>
      </c>
      <c r="I13" s="2" t="s">
        <v>266</v>
      </c>
      <c r="J13" s="2" t="s">
        <v>267</v>
      </c>
      <c r="K13" s="2" t="s">
        <v>268</v>
      </c>
      <c r="L13" s="2" t="s">
        <v>269</v>
      </c>
      <c r="M13" s="6">
        <v>0.48693287037077998</v>
      </c>
      <c r="N13" s="2" t="s">
        <v>30</v>
      </c>
      <c r="O13" s="2" t="s">
        <v>59</v>
      </c>
      <c r="P13" s="2" t="s">
        <v>32</v>
      </c>
      <c r="Q13" s="2">
        <v>180</v>
      </c>
      <c r="R13" s="2">
        <v>180</v>
      </c>
      <c r="S13" s="3">
        <v>4.58</v>
      </c>
      <c r="T13" s="3">
        <v>4.8</v>
      </c>
      <c r="U13" s="8">
        <v>60.57</v>
      </c>
      <c r="V13" s="8">
        <v>2.1153</v>
      </c>
      <c r="W13" s="8">
        <v>4.718</v>
      </c>
      <c r="X13" s="8">
        <v>0</v>
      </c>
      <c r="Y13" s="8">
        <v>2.7E-2</v>
      </c>
      <c r="Z13" s="8">
        <v>8.8700000000000001E-2</v>
      </c>
      <c r="AA13" s="8">
        <v>0.127</v>
      </c>
      <c r="AB13" s="8">
        <v>6.08</v>
      </c>
      <c r="AC13" s="2" t="s">
        <v>94</v>
      </c>
      <c r="AD13" s="2" t="s">
        <v>26</v>
      </c>
    </row>
    <row r="14" spans="1:30" hidden="1" x14ac:dyDescent="0.3">
      <c r="A14" s="2">
        <v>22</v>
      </c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101</v>
      </c>
      <c r="G14" s="2" t="s">
        <v>276</v>
      </c>
      <c r="H14" s="2" t="s">
        <v>277</v>
      </c>
      <c r="I14" s="2" t="s">
        <v>278</v>
      </c>
      <c r="J14" s="2" t="s">
        <v>279</v>
      </c>
      <c r="K14" s="2" t="s">
        <v>280</v>
      </c>
      <c r="L14" s="2" t="s">
        <v>281</v>
      </c>
      <c r="M14" s="6">
        <v>0.4119444444439378</v>
      </c>
      <c r="N14" s="2" t="s">
        <v>30</v>
      </c>
      <c r="O14" s="2" t="s">
        <v>31</v>
      </c>
      <c r="P14" s="2" t="s">
        <v>32</v>
      </c>
      <c r="Q14" s="2">
        <v>200</v>
      </c>
      <c r="R14" s="2">
        <v>200</v>
      </c>
      <c r="S14" s="3">
        <v>4.5199999999999996</v>
      </c>
      <c r="T14" s="3">
        <v>4.79</v>
      </c>
      <c r="U14" s="8">
        <v>63.09</v>
      </c>
      <c r="V14" s="8">
        <v>2.3571399999999998</v>
      </c>
      <c r="W14" s="8">
        <v>3.08</v>
      </c>
      <c r="X14" s="8">
        <v>0</v>
      </c>
      <c r="Y14" s="8">
        <v>1.9E-2</v>
      </c>
      <c r="Z14" s="8">
        <v>6.019E-2</v>
      </c>
      <c r="AA14" s="8">
        <v>6.7000000000000004E-2</v>
      </c>
      <c r="AB14" s="8">
        <v>4.05</v>
      </c>
      <c r="AC14" s="2" t="s">
        <v>102</v>
      </c>
      <c r="AD14" s="2" t="s">
        <v>26</v>
      </c>
    </row>
    <row r="15" spans="1:30" hidden="1" x14ac:dyDescent="0.3">
      <c r="A15" s="2">
        <v>24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109</v>
      </c>
      <c r="G15" s="2" t="s">
        <v>288</v>
      </c>
      <c r="H15" s="2" t="s">
        <v>289</v>
      </c>
      <c r="I15" s="2" t="s">
        <v>290</v>
      </c>
      <c r="J15" s="2" t="s">
        <v>291</v>
      </c>
      <c r="K15" s="2" t="s">
        <v>292</v>
      </c>
      <c r="L15" s="2" t="s">
        <v>293</v>
      </c>
      <c r="M15" s="6">
        <v>0.45863425925715734</v>
      </c>
      <c r="N15" s="2" t="s">
        <v>30</v>
      </c>
      <c r="O15" s="2" t="s">
        <v>59</v>
      </c>
      <c r="P15" s="2" t="s">
        <v>32</v>
      </c>
      <c r="Q15" s="2">
        <v>300</v>
      </c>
      <c r="R15" s="2">
        <v>300</v>
      </c>
      <c r="S15" s="3">
        <v>4.54</v>
      </c>
      <c r="T15" s="3">
        <v>4.79</v>
      </c>
      <c r="U15" s="8">
        <v>62.5</v>
      </c>
      <c r="V15" s="8">
        <v>1.8590599999999999</v>
      </c>
      <c r="W15" s="8">
        <v>3.4350000000000001</v>
      </c>
      <c r="X15" s="8">
        <v>0</v>
      </c>
      <c r="Y15" s="8">
        <v>2.1000000000000001E-2</v>
      </c>
      <c r="Z15" s="8">
        <v>7.8070000000000001E-2</v>
      </c>
      <c r="AA15" s="8">
        <v>4.3999999999999997E-2</v>
      </c>
      <c r="AB15" s="8">
        <v>5.0199999999999996</v>
      </c>
      <c r="AC15" s="2" t="s">
        <v>110</v>
      </c>
      <c r="AD15" s="2" t="s">
        <v>26</v>
      </c>
    </row>
    <row r="16" spans="1:30" hidden="1" x14ac:dyDescent="0.3">
      <c r="A16" s="2">
        <v>26</v>
      </c>
      <c r="B16" s="2" t="s">
        <v>114</v>
      </c>
      <c r="C16" s="2" t="s">
        <v>115</v>
      </c>
      <c r="D16" s="2" t="s">
        <v>116</v>
      </c>
      <c r="E16" s="2" t="s">
        <v>117</v>
      </c>
      <c r="F16" s="2" t="s">
        <v>117</v>
      </c>
      <c r="G16" s="2" t="s">
        <v>300</v>
      </c>
      <c r="H16" s="2" t="s">
        <v>301</v>
      </c>
      <c r="I16" s="2" t="s">
        <v>302</v>
      </c>
      <c r="J16" s="2" t="s">
        <v>303</v>
      </c>
      <c r="K16" s="2" t="s">
        <v>304</v>
      </c>
      <c r="L16" s="2" t="s">
        <v>305</v>
      </c>
      <c r="M16" s="6">
        <v>0.27295138888805892</v>
      </c>
      <c r="N16" s="2" t="s">
        <v>30</v>
      </c>
      <c r="O16" s="2" t="s">
        <v>31</v>
      </c>
      <c r="P16" s="2" t="s">
        <v>32</v>
      </c>
      <c r="Q16" s="2">
        <v>200</v>
      </c>
      <c r="R16" s="2">
        <v>200</v>
      </c>
      <c r="S16" s="3">
        <v>4.5</v>
      </c>
      <c r="T16" s="3">
        <v>4.75</v>
      </c>
      <c r="U16" s="8">
        <v>63.53</v>
      </c>
      <c r="V16" s="8">
        <v>1.9568700000000001</v>
      </c>
      <c r="W16" s="8">
        <v>2.3940000000000001</v>
      </c>
      <c r="X16" s="8">
        <v>0</v>
      </c>
      <c r="Y16" s="8">
        <v>5.7000000000000002E-2</v>
      </c>
      <c r="Z16" s="8">
        <v>9.4509999999999997E-2</v>
      </c>
      <c r="AA16" s="8">
        <v>1E-3</v>
      </c>
      <c r="AB16" s="8">
        <v>4.4800000000000004</v>
      </c>
      <c r="AC16" s="2" t="s">
        <v>118</v>
      </c>
      <c r="AD16" s="2" t="s">
        <v>26</v>
      </c>
    </row>
    <row r="17" spans="1:30" hidden="1" x14ac:dyDescent="0.3">
      <c r="A17" s="2">
        <v>28</v>
      </c>
      <c r="B17" s="2" t="s">
        <v>122</v>
      </c>
      <c r="C17" s="2" t="s">
        <v>123</v>
      </c>
      <c r="D17" s="2" t="s">
        <v>124</v>
      </c>
      <c r="E17" s="2" t="s">
        <v>125</v>
      </c>
      <c r="F17" s="2" t="s">
        <v>125</v>
      </c>
      <c r="G17" s="2" t="s">
        <v>312</v>
      </c>
      <c r="H17" s="2" t="s">
        <v>313</v>
      </c>
      <c r="I17" s="2" t="s">
        <v>314</v>
      </c>
      <c r="J17" s="2" t="s">
        <v>315</v>
      </c>
      <c r="K17" s="2" t="s">
        <v>316</v>
      </c>
      <c r="L17" s="2" t="s">
        <v>317</v>
      </c>
      <c r="M17" s="6">
        <v>0.44251157407705993</v>
      </c>
      <c r="N17" s="2" t="s">
        <v>30</v>
      </c>
      <c r="O17" s="2" t="s">
        <v>31</v>
      </c>
      <c r="P17" s="2" t="s">
        <v>32</v>
      </c>
      <c r="Q17" s="2">
        <v>160</v>
      </c>
      <c r="R17" s="2">
        <v>160</v>
      </c>
      <c r="S17" s="3">
        <v>4.5599999999999996</v>
      </c>
      <c r="T17" s="3">
        <v>4.74</v>
      </c>
      <c r="U17" s="8">
        <v>63.54</v>
      </c>
      <c r="V17" s="8">
        <v>2.0718100000000002</v>
      </c>
      <c r="W17" s="8">
        <v>2.585</v>
      </c>
      <c r="X17" s="8">
        <v>0</v>
      </c>
      <c r="Y17" s="8">
        <v>4.3999999999999997E-2</v>
      </c>
      <c r="Z17" s="8">
        <v>7.016E-2</v>
      </c>
      <c r="AA17" s="8">
        <v>6.0000000000000001E-3</v>
      </c>
      <c r="AB17" s="8">
        <v>4.21</v>
      </c>
      <c r="AC17" s="2" t="s">
        <v>126</v>
      </c>
      <c r="AD17" s="2" t="s">
        <v>26</v>
      </c>
    </row>
    <row r="18" spans="1:30" hidden="1" x14ac:dyDescent="0.3">
      <c r="A18" s="2">
        <v>30</v>
      </c>
      <c r="B18" s="2" t="s">
        <v>130</v>
      </c>
      <c r="C18" s="2" t="s">
        <v>131</v>
      </c>
      <c r="D18" s="2" t="s">
        <v>132</v>
      </c>
      <c r="E18" s="2" t="s">
        <v>133</v>
      </c>
      <c r="F18" s="2" t="s">
        <v>133</v>
      </c>
      <c r="G18" s="2" t="s">
        <v>324</v>
      </c>
      <c r="H18" s="2" t="s">
        <v>325</v>
      </c>
      <c r="I18" s="2" t="s">
        <v>326</v>
      </c>
      <c r="J18" s="2" t="s">
        <v>327</v>
      </c>
      <c r="K18" s="2" t="s">
        <v>328</v>
      </c>
      <c r="L18" s="2" t="s">
        <v>329</v>
      </c>
      <c r="M18" s="6">
        <v>0.46158564814477426</v>
      </c>
      <c r="N18" s="2" t="s">
        <v>30</v>
      </c>
      <c r="O18" s="2" t="s">
        <v>31</v>
      </c>
      <c r="P18" s="2" t="s">
        <v>32</v>
      </c>
      <c r="Q18" s="2">
        <v>140</v>
      </c>
      <c r="R18" s="2">
        <v>140</v>
      </c>
      <c r="S18" s="3">
        <v>4.67</v>
      </c>
      <c r="T18" s="3">
        <v>4.91</v>
      </c>
      <c r="U18" s="8">
        <v>66.349999999999994</v>
      </c>
      <c r="V18" s="8">
        <v>1.05274</v>
      </c>
      <c r="W18" s="8">
        <v>0.98799999999999999</v>
      </c>
      <c r="X18" s="8">
        <v>0</v>
      </c>
      <c r="Y18" s="8">
        <v>1.2E-2</v>
      </c>
      <c r="Z18" s="8">
        <v>5.8169999999999999E-2</v>
      </c>
      <c r="AA18" s="8">
        <v>1.4999999999999999E-2</v>
      </c>
      <c r="AB18" s="8">
        <v>2.88</v>
      </c>
      <c r="AC18" s="2" t="s">
        <v>134</v>
      </c>
      <c r="AD18" s="2" t="s">
        <v>26</v>
      </c>
    </row>
    <row r="19" spans="1:30" hidden="1" x14ac:dyDescent="0.3">
      <c r="A19" s="2">
        <v>32</v>
      </c>
      <c r="B19" s="2" t="s">
        <v>138</v>
      </c>
      <c r="C19" s="2" t="s">
        <v>139</v>
      </c>
      <c r="D19" s="2" t="s">
        <v>140</v>
      </c>
      <c r="E19" s="2" t="s">
        <v>141</v>
      </c>
      <c r="F19" s="2" t="s">
        <v>141</v>
      </c>
      <c r="G19" s="2" t="s">
        <v>336</v>
      </c>
      <c r="H19" s="2" t="s">
        <v>337</v>
      </c>
      <c r="I19" s="2" t="s">
        <v>338</v>
      </c>
      <c r="J19" s="2" t="s">
        <v>339</v>
      </c>
      <c r="K19" s="2" t="s">
        <v>340</v>
      </c>
      <c r="L19" s="2" t="s">
        <v>341</v>
      </c>
      <c r="M19" s="6">
        <v>0.34701388888746604</v>
      </c>
      <c r="N19" s="2" t="s">
        <v>30</v>
      </c>
      <c r="O19" s="2" t="s">
        <v>68</v>
      </c>
      <c r="P19" s="2" t="s">
        <v>32</v>
      </c>
      <c r="Q19" s="2">
        <v>160</v>
      </c>
      <c r="R19" s="2">
        <v>160</v>
      </c>
      <c r="S19" s="3">
        <v>4.5199999999999996</v>
      </c>
      <c r="T19" s="3">
        <v>4.79</v>
      </c>
      <c r="U19" s="8">
        <v>62.92</v>
      </c>
      <c r="V19" s="8">
        <v>3.2099199999999999</v>
      </c>
      <c r="W19" s="8">
        <v>2.5880000000000001</v>
      </c>
      <c r="X19" s="8">
        <v>0</v>
      </c>
      <c r="Y19" s="8">
        <v>2.7E-2</v>
      </c>
      <c r="Z19" s="8">
        <v>4.6420000000000003E-2</v>
      </c>
      <c r="AA19" s="8">
        <v>0.02</v>
      </c>
      <c r="AB19" s="8">
        <v>3.85</v>
      </c>
      <c r="AC19" s="2" t="s">
        <v>142</v>
      </c>
      <c r="AD19" s="2" t="s">
        <v>26</v>
      </c>
    </row>
    <row r="20" spans="1:30" x14ac:dyDescent="0.3">
      <c r="A20" s="2">
        <v>34</v>
      </c>
      <c r="B20" s="2" t="s">
        <v>146</v>
      </c>
      <c r="C20" s="2" t="s">
        <v>147</v>
      </c>
      <c r="D20" s="2" t="s">
        <v>148</v>
      </c>
      <c r="E20" s="2" t="s">
        <v>149</v>
      </c>
      <c r="F20" s="2" t="s">
        <v>149</v>
      </c>
      <c r="G20" s="2" t="s">
        <v>348</v>
      </c>
      <c r="H20" s="2" t="s">
        <v>349</v>
      </c>
      <c r="I20" s="2" t="s">
        <v>350</v>
      </c>
      <c r="J20" s="2" t="s">
        <v>351</v>
      </c>
      <c r="K20" s="2" t="s">
        <v>352</v>
      </c>
      <c r="L20" s="2" t="s">
        <v>353</v>
      </c>
      <c r="M20" s="6">
        <v>0.50070601851209418</v>
      </c>
      <c r="N20" s="2" t="s">
        <v>30</v>
      </c>
      <c r="O20" s="2" t="s">
        <v>31</v>
      </c>
      <c r="P20" s="2" t="s">
        <v>32</v>
      </c>
      <c r="Q20" s="2">
        <v>160</v>
      </c>
      <c r="R20" s="2">
        <v>160</v>
      </c>
      <c r="S20" s="3">
        <v>4.71</v>
      </c>
      <c r="T20" s="3">
        <v>4.9000000000000004</v>
      </c>
      <c r="U20" s="8">
        <v>61.59</v>
      </c>
      <c r="V20" s="8">
        <v>2.7711600000000001</v>
      </c>
      <c r="W20" s="8">
        <v>3.4209999999999998</v>
      </c>
      <c r="X20" s="8">
        <v>0</v>
      </c>
      <c r="Y20" s="8">
        <v>1.7999999999999999E-2</v>
      </c>
      <c r="Z20" s="8">
        <v>9.0060000000000001E-2</v>
      </c>
      <c r="AA20" s="8">
        <v>1.9E-2</v>
      </c>
      <c r="AB20" s="8">
        <v>5.43</v>
      </c>
      <c r="AC20" s="2" t="s">
        <v>150</v>
      </c>
      <c r="AD20" s="2" t="s">
        <v>26</v>
      </c>
    </row>
    <row r="21" spans="1:30" hidden="1" x14ac:dyDescent="0.3">
      <c r="A21" s="2">
        <v>36</v>
      </c>
      <c r="B21" s="2" t="s">
        <v>156</v>
      </c>
      <c r="C21" s="2" t="s">
        <v>157</v>
      </c>
      <c r="D21" s="2" t="s">
        <v>158</v>
      </c>
      <c r="E21" s="2" t="s">
        <v>159</v>
      </c>
      <c r="F21" s="2" t="s">
        <v>159</v>
      </c>
      <c r="G21" s="2" t="s">
        <v>360</v>
      </c>
      <c r="H21" s="2" t="s">
        <v>361</v>
      </c>
      <c r="I21" s="2" t="s">
        <v>362</v>
      </c>
      <c r="J21" s="2" t="s">
        <v>363</v>
      </c>
      <c r="K21" s="2" t="s">
        <v>364</v>
      </c>
      <c r="L21" s="2" t="s">
        <v>365</v>
      </c>
      <c r="M21" s="6">
        <v>0.38869212963231364</v>
      </c>
      <c r="N21" s="2" t="s">
        <v>30</v>
      </c>
      <c r="O21" s="2" t="s">
        <v>160</v>
      </c>
      <c r="P21" s="2" t="s">
        <v>32</v>
      </c>
      <c r="Q21" s="2">
        <v>200</v>
      </c>
      <c r="R21" s="2">
        <v>200</v>
      </c>
      <c r="S21" s="3">
        <v>4.71</v>
      </c>
      <c r="T21" s="3">
        <v>4.9000000000000004</v>
      </c>
      <c r="U21" s="8">
        <v>64.89</v>
      </c>
      <c r="V21" s="8">
        <v>1.2928200000000001</v>
      </c>
      <c r="W21" s="8">
        <v>1.486</v>
      </c>
      <c r="X21" s="8">
        <v>0</v>
      </c>
      <c r="Y21" s="8">
        <v>1.4999999999999999E-2</v>
      </c>
      <c r="Z21" s="8">
        <v>8.6279999999999996E-2</v>
      </c>
      <c r="AA21" s="8">
        <v>2.8000000000000001E-2</v>
      </c>
      <c r="AB21" s="8">
        <v>4.1399999999999997</v>
      </c>
      <c r="AC21" s="2" t="s">
        <v>161</v>
      </c>
      <c r="AD21" s="2" t="s">
        <v>26</v>
      </c>
    </row>
    <row r="22" spans="1:30" hidden="1" x14ac:dyDescent="0.3">
      <c r="A22" s="2">
        <v>39</v>
      </c>
      <c r="B22" s="2" t="s">
        <v>171</v>
      </c>
      <c r="C22" s="2" t="s">
        <v>172</v>
      </c>
      <c r="D22" s="2" t="s">
        <v>173</v>
      </c>
      <c r="E22" s="2" t="s">
        <v>168</v>
      </c>
      <c r="F22" s="2" t="s">
        <v>168</v>
      </c>
      <c r="G22" s="2" t="s">
        <v>378</v>
      </c>
      <c r="H22" s="2" t="s">
        <v>373</v>
      </c>
      <c r="I22" s="2" t="s">
        <v>379</v>
      </c>
      <c r="J22" s="2" t="s">
        <v>380</v>
      </c>
      <c r="K22" s="2" t="s">
        <v>381</v>
      </c>
      <c r="L22" s="2" t="s">
        <v>382</v>
      </c>
      <c r="M22" s="6">
        <v>0.25645833333412021</v>
      </c>
      <c r="N22" s="2" t="s">
        <v>30</v>
      </c>
      <c r="O22" s="2" t="s">
        <v>169</v>
      </c>
      <c r="P22" s="2" t="s">
        <v>32</v>
      </c>
      <c r="Q22" s="2">
        <v>200</v>
      </c>
      <c r="R22" s="2">
        <v>200</v>
      </c>
      <c r="S22" s="3">
        <v>4.5199999999999996</v>
      </c>
      <c r="T22" s="3">
        <v>4.7300000000000004</v>
      </c>
      <c r="U22" s="8">
        <v>62.86</v>
      </c>
      <c r="V22" s="8">
        <v>2.9698500000000001</v>
      </c>
      <c r="W22" s="8">
        <v>2.6</v>
      </c>
      <c r="X22" s="8">
        <v>0</v>
      </c>
      <c r="Y22" s="8">
        <v>2.9000000000000001E-2</v>
      </c>
      <c r="Z22" s="8">
        <v>4.5179999999999998E-2</v>
      </c>
      <c r="AA22" s="8">
        <v>1.4999999999999999E-2</v>
      </c>
      <c r="AB22" s="8">
        <v>4.1500000000000004</v>
      </c>
      <c r="AC22" s="2" t="s">
        <v>170</v>
      </c>
      <c r="AD22" s="2" t="s">
        <v>26</v>
      </c>
    </row>
    <row r="23" spans="1:30" ht="15" hidden="1" thickBot="1" x14ac:dyDescent="0.35">
      <c r="Q23" s="10">
        <f>SUM(Q4:Q22)</f>
        <v>3800</v>
      </c>
      <c r="R23" s="11"/>
      <c r="S23" s="12">
        <f t="shared" ref="S23:T23" si="0">SUMPRODUCT($Q$4:$Q$22,S4:S22)/$Q$23</f>
        <v>4.5228947368421055</v>
      </c>
      <c r="T23" s="12">
        <f t="shared" si="0"/>
        <v>4.8164210526315792</v>
      </c>
      <c r="U23" s="12">
        <f>SUMPRODUCT($Q$4:$Q$22,U4:U22)/$Q$23</f>
        <v>63.448684210526316</v>
      </c>
      <c r="V23" s="12">
        <f t="shared" ref="V23:AB23" si="1">SUMPRODUCT($Q$4:$Q$22,V4:V22)/$Q$23</f>
        <v>2.1321525263157892</v>
      </c>
      <c r="W23" s="12">
        <f t="shared" si="1"/>
        <v>2.8100368421052631</v>
      </c>
      <c r="X23" s="12">
        <f t="shared" si="1"/>
        <v>0</v>
      </c>
      <c r="Y23" s="12">
        <f t="shared" si="1"/>
        <v>2.9942105263157891E-2</v>
      </c>
      <c r="Z23" s="12">
        <f t="shared" si="1"/>
        <v>6.5935210526315791E-2</v>
      </c>
      <c r="AA23" s="12">
        <f t="shared" si="1"/>
        <v>4.179473684210526E-2</v>
      </c>
      <c r="AB23" s="13">
        <f t="shared" si="1"/>
        <v>4.0282105263157897</v>
      </c>
    </row>
    <row r="25" spans="1:30" x14ac:dyDescent="0.3">
      <c r="V25">
        <f>MAX(U3:U22)</f>
        <v>66.349999999999994</v>
      </c>
    </row>
    <row r="26" spans="1:30" x14ac:dyDescent="0.3">
      <c r="V26">
        <f>MIN(U3:U22)</f>
        <v>60.57</v>
      </c>
    </row>
  </sheetData>
  <autoFilter ref="A3:AD23" xr:uid="{00000000-0001-0000-0300-000000000000}">
    <filterColumn colId="20">
      <customFilters>
        <customFilter operator="lessThan" val="62"/>
      </customFilters>
    </filterColumn>
  </autoFilter>
  <mergeCells count="22">
    <mergeCell ref="F1:F3"/>
    <mergeCell ref="A1:A3"/>
    <mergeCell ref="B1:B3"/>
    <mergeCell ref="C1:C3"/>
    <mergeCell ref="D1:D3"/>
    <mergeCell ref="E1:E3"/>
    <mergeCell ref="S1:T1"/>
    <mergeCell ref="U1:AB1"/>
    <mergeCell ref="AC1:AC3"/>
    <mergeCell ref="AD1:AD3"/>
    <mergeCell ref="G2:G3"/>
    <mergeCell ref="H2:H3"/>
    <mergeCell ref="I2:I3"/>
    <mergeCell ref="J2:J3"/>
    <mergeCell ref="K2:K3"/>
    <mergeCell ref="L2:L3"/>
    <mergeCell ref="M2:M3"/>
    <mergeCell ref="N1:N3"/>
    <mergeCell ref="O1:O3"/>
    <mergeCell ref="P1:P3"/>
    <mergeCell ref="Q1:Q3"/>
    <mergeCell ref="R1:R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6EB2-ADDD-49F7-B11E-EF6A14DE7AEB}">
  <dimension ref="A1:AB23"/>
  <sheetViews>
    <sheetView topLeftCell="I4" workbookViewId="0">
      <selection activeCell="G23" sqref="G23:Q23"/>
    </sheetView>
  </sheetViews>
  <sheetFormatPr defaultRowHeight="14.4" x14ac:dyDescent="0.3"/>
  <cols>
    <col min="1" max="1" width="11.109375" customWidth="1"/>
    <col min="2" max="2" width="19.109375" bestFit="1" customWidth="1"/>
    <col min="3" max="6" width="11.109375" customWidth="1"/>
    <col min="7" max="7" width="13.44140625" customWidth="1"/>
    <col min="8" max="17" width="11.109375" customWidth="1"/>
    <col min="18" max="18" width="10.33203125" bestFit="1" customWidth="1"/>
    <col min="19" max="20" width="10.33203125" customWidth="1"/>
    <col min="21" max="28" width="8.77734375" bestFit="1" customWidth="1"/>
  </cols>
  <sheetData>
    <row r="1" spans="1:28" x14ac:dyDescent="0.3">
      <c r="A1" s="73" t="s">
        <v>1</v>
      </c>
      <c r="B1" s="83" t="s">
        <v>434</v>
      </c>
      <c r="C1" s="73" t="s">
        <v>5</v>
      </c>
      <c r="D1" s="73" t="s">
        <v>6</v>
      </c>
      <c r="E1" s="73" t="s">
        <v>8</v>
      </c>
      <c r="F1" s="73" t="s">
        <v>9</v>
      </c>
      <c r="G1" s="73" t="s">
        <v>10</v>
      </c>
      <c r="H1" s="73" t="s">
        <v>12</v>
      </c>
      <c r="I1" s="74"/>
      <c r="J1" s="73" t="s">
        <v>15</v>
      </c>
      <c r="K1" s="74"/>
      <c r="L1" s="74"/>
      <c r="M1" s="74"/>
      <c r="N1" s="74"/>
      <c r="O1" s="74"/>
      <c r="P1" s="74"/>
      <c r="Q1" s="74"/>
    </row>
    <row r="2" spans="1:28" x14ac:dyDescent="0.3">
      <c r="A2" s="74"/>
      <c r="B2" s="74"/>
      <c r="C2" s="74"/>
      <c r="D2" s="74"/>
      <c r="E2" s="74"/>
      <c r="F2" s="74"/>
      <c r="G2" s="74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8" ht="15" thickBot="1" x14ac:dyDescent="0.35">
      <c r="A3" s="74"/>
      <c r="B3" s="74"/>
      <c r="C3" s="74"/>
      <c r="D3" s="74"/>
      <c r="E3" s="74"/>
      <c r="F3" s="74"/>
      <c r="G3" s="74"/>
      <c r="H3" s="1" t="s">
        <v>13</v>
      </c>
      <c r="I3" s="1" t="s">
        <v>14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</row>
    <row r="4" spans="1:28" ht="15" thickBot="1" x14ac:dyDescent="0.35">
      <c r="A4" s="2">
        <v>1</v>
      </c>
      <c r="B4" s="2" t="s">
        <v>394</v>
      </c>
      <c r="C4" s="5">
        <v>45870</v>
      </c>
      <c r="D4" s="4">
        <v>45869</v>
      </c>
      <c r="E4" s="2" t="s">
        <v>31</v>
      </c>
      <c r="F4" s="2" t="s">
        <v>32</v>
      </c>
      <c r="G4" s="14">
        <v>200</v>
      </c>
      <c r="H4" s="16">
        <v>3.69</v>
      </c>
      <c r="I4" s="16">
        <v>4.92</v>
      </c>
      <c r="J4" s="39">
        <v>61.75</v>
      </c>
      <c r="K4" s="39">
        <v>2.9037299999999999</v>
      </c>
      <c r="L4" s="39">
        <v>3.6890000000000001</v>
      </c>
      <c r="M4" s="39">
        <v>0</v>
      </c>
      <c r="N4" s="39">
        <v>4.4999999999999998E-2</v>
      </c>
      <c r="O4" s="39">
        <v>9.715E-2</v>
      </c>
      <c r="P4" s="39">
        <v>1.7000000000000001E-2</v>
      </c>
      <c r="Q4" s="39">
        <v>4.74</v>
      </c>
      <c r="R4" s="55">
        <f>SUM(G4:G10)</f>
        <v>1180</v>
      </c>
      <c r="S4" s="56">
        <f t="shared" ref="S4" si="0">SUMPRODUCT($G$4:$G$10,H4:H10)/$R$4</f>
        <v>4.429491525423729</v>
      </c>
      <c r="T4" s="56">
        <f>SUMPRODUCT($G$4:$G$10,I4:I10)/$R$4</f>
        <v>4.83</v>
      </c>
      <c r="U4" s="56">
        <f>SUMPRODUCT($G$4:$G$10,J4:J10)/$R$4</f>
        <v>63.219152542372889</v>
      </c>
      <c r="V4" s="56">
        <f>SUMPRODUCT($G$4:$G$10,K4:K10)/$R$4</f>
        <v>2.2314247457627121</v>
      </c>
      <c r="W4" s="56">
        <f t="shared" ref="W4:AB4" si="1">SUMPRODUCT($G$4:$G$10,L4:L10)/$R$4</f>
        <v>2.8133050847457626</v>
      </c>
      <c r="X4" s="56">
        <f t="shared" si="1"/>
        <v>0</v>
      </c>
      <c r="Y4" s="56">
        <f t="shared" si="1"/>
        <v>2.6101694915254239E-2</v>
      </c>
      <c r="Z4" s="56">
        <f t="shared" si="1"/>
        <v>7.2373389830508478E-2</v>
      </c>
      <c r="AA4" s="56">
        <f t="shared" si="1"/>
        <v>3.5271186440677969E-2</v>
      </c>
      <c r="AB4" s="56">
        <f t="shared" si="1"/>
        <v>4.2372881355932206</v>
      </c>
    </row>
    <row r="5" spans="1:28" ht="15" thickBot="1" x14ac:dyDescent="0.35">
      <c r="A5" s="2">
        <v>3</v>
      </c>
      <c r="B5" s="2" t="s">
        <v>413</v>
      </c>
      <c r="C5" s="4">
        <v>45869</v>
      </c>
      <c r="D5" s="2" t="s">
        <v>29</v>
      </c>
      <c r="E5" s="2" t="s">
        <v>31</v>
      </c>
      <c r="F5" s="2" t="s">
        <v>32</v>
      </c>
      <c r="G5" s="17">
        <v>140</v>
      </c>
      <c r="H5" s="19">
        <v>4.7699999999999996</v>
      </c>
      <c r="I5" s="19">
        <v>4.84</v>
      </c>
      <c r="J5" s="41">
        <v>64.81</v>
      </c>
      <c r="K5" s="41">
        <v>1.73552</v>
      </c>
      <c r="L5" s="41">
        <v>2.2349999999999999</v>
      </c>
      <c r="M5" s="41">
        <v>0</v>
      </c>
      <c r="N5" s="41">
        <v>2.9000000000000001E-2</v>
      </c>
      <c r="O5" s="41">
        <v>5.6099999999999997E-2</v>
      </c>
      <c r="P5" s="41">
        <v>1.2999999999999999E-2</v>
      </c>
      <c r="Q5" s="42">
        <v>3.14</v>
      </c>
      <c r="R5" s="44"/>
      <c r="S5" s="44"/>
      <c r="T5" s="44"/>
      <c r="U5" s="49"/>
    </row>
    <row r="6" spans="1:28" x14ac:dyDescent="0.3">
      <c r="A6" s="2">
        <v>18</v>
      </c>
      <c r="B6" s="2" t="s">
        <v>83</v>
      </c>
      <c r="C6" s="2" t="s">
        <v>85</v>
      </c>
      <c r="D6" s="2" t="s">
        <v>85</v>
      </c>
      <c r="E6" s="2" t="s">
        <v>31</v>
      </c>
      <c r="F6" s="2" t="s">
        <v>32</v>
      </c>
      <c r="G6" s="14">
        <v>200</v>
      </c>
      <c r="H6" s="16">
        <v>4.33</v>
      </c>
      <c r="I6" s="16">
        <v>4.68</v>
      </c>
      <c r="J6" s="39">
        <v>65.31</v>
      </c>
      <c r="K6" s="39">
        <v>1.6212599999999999</v>
      </c>
      <c r="L6" s="39">
        <v>1.6</v>
      </c>
      <c r="M6" s="39">
        <v>0</v>
      </c>
      <c r="N6" s="39">
        <v>0.02</v>
      </c>
      <c r="O6" s="39">
        <v>6.0850000000000001E-2</v>
      </c>
      <c r="P6" s="39">
        <v>2.5999999999999999E-2</v>
      </c>
      <c r="Q6" s="40">
        <v>3.15</v>
      </c>
      <c r="R6" s="44"/>
      <c r="S6" s="44"/>
      <c r="T6" s="44"/>
      <c r="U6" s="49"/>
    </row>
    <row r="7" spans="1:28" ht="15" thickBot="1" x14ac:dyDescent="0.35">
      <c r="A7" s="2">
        <v>20</v>
      </c>
      <c r="B7" s="2" t="s">
        <v>91</v>
      </c>
      <c r="C7" s="2" t="s">
        <v>93</v>
      </c>
      <c r="D7" s="2" t="s">
        <v>93</v>
      </c>
      <c r="E7" s="2" t="s">
        <v>59</v>
      </c>
      <c r="F7" s="2" t="s">
        <v>32</v>
      </c>
      <c r="G7" s="17">
        <v>180</v>
      </c>
      <c r="H7" s="19">
        <v>4.58</v>
      </c>
      <c r="I7" s="19">
        <v>4.8</v>
      </c>
      <c r="J7" s="41">
        <v>60.57</v>
      </c>
      <c r="K7" s="41">
        <v>2.1153</v>
      </c>
      <c r="L7" s="41">
        <v>4.718</v>
      </c>
      <c r="M7" s="41">
        <v>0</v>
      </c>
      <c r="N7" s="41">
        <v>2.7E-2</v>
      </c>
      <c r="O7" s="41">
        <v>8.8700000000000001E-2</v>
      </c>
      <c r="P7" s="41">
        <v>0.127</v>
      </c>
      <c r="Q7" s="42">
        <v>6.08</v>
      </c>
      <c r="R7" s="44"/>
      <c r="S7" s="44"/>
      <c r="T7" s="44"/>
      <c r="U7" s="49"/>
    </row>
    <row r="8" spans="1:28" x14ac:dyDescent="0.3">
      <c r="A8" s="2">
        <v>30</v>
      </c>
      <c r="B8" s="2" t="s">
        <v>131</v>
      </c>
      <c r="C8" s="2" t="s">
        <v>133</v>
      </c>
      <c r="D8" s="2" t="s">
        <v>133</v>
      </c>
      <c r="E8" s="2" t="s">
        <v>31</v>
      </c>
      <c r="F8" s="2" t="s">
        <v>32</v>
      </c>
      <c r="G8" s="14">
        <v>140</v>
      </c>
      <c r="H8" s="16">
        <v>4.67</v>
      </c>
      <c r="I8" s="16">
        <v>4.91</v>
      </c>
      <c r="J8" s="39">
        <v>66.349999999999994</v>
      </c>
      <c r="K8" s="39">
        <v>1.05274</v>
      </c>
      <c r="L8" s="39">
        <v>0.98799999999999999</v>
      </c>
      <c r="M8" s="39">
        <v>0</v>
      </c>
      <c r="N8" s="39">
        <v>1.2E-2</v>
      </c>
      <c r="O8" s="39">
        <v>5.8169999999999999E-2</v>
      </c>
      <c r="P8" s="39">
        <v>1.4999999999999999E-2</v>
      </c>
      <c r="Q8" s="40">
        <v>2.88</v>
      </c>
      <c r="R8" s="44"/>
      <c r="S8" s="44"/>
      <c r="T8" s="44"/>
      <c r="U8" s="49"/>
    </row>
    <row r="9" spans="1:28" x14ac:dyDescent="0.3">
      <c r="A9" s="2">
        <v>32</v>
      </c>
      <c r="B9" s="2" t="s">
        <v>139</v>
      </c>
      <c r="C9" s="2" t="s">
        <v>141</v>
      </c>
      <c r="D9" s="2" t="s">
        <v>141</v>
      </c>
      <c r="E9" s="2" t="s">
        <v>68</v>
      </c>
      <c r="F9" s="2" t="s">
        <v>32</v>
      </c>
      <c r="G9" s="20">
        <v>160</v>
      </c>
      <c r="H9" s="3">
        <v>4.5199999999999996</v>
      </c>
      <c r="I9" s="3">
        <v>4.79</v>
      </c>
      <c r="J9" s="8">
        <v>62.92</v>
      </c>
      <c r="K9" s="8">
        <v>3.2099199999999999</v>
      </c>
      <c r="L9" s="8">
        <v>2.5880000000000001</v>
      </c>
      <c r="M9" s="8">
        <v>0</v>
      </c>
      <c r="N9" s="8">
        <v>2.7E-2</v>
      </c>
      <c r="O9" s="8">
        <v>4.6420000000000003E-2</v>
      </c>
      <c r="P9" s="8">
        <v>0.02</v>
      </c>
      <c r="Q9" s="43">
        <v>3.85</v>
      </c>
      <c r="R9" s="44"/>
      <c r="S9" s="44"/>
      <c r="T9" s="44"/>
      <c r="U9" s="49"/>
    </row>
    <row r="10" spans="1:28" ht="15" thickBot="1" x14ac:dyDescent="0.35">
      <c r="A10" s="2">
        <v>34</v>
      </c>
      <c r="B10" s="2" t="s">
        <v>147</v>
      </c>
      <c r="C10" s="2" t="s">
        <v>149</v>
      </c>
      <c r="D10" s="2" t="s">
        <v>149</v>
      </c>
      <c r="E10" s="2" t="s">
        <v>31</v>
      </c>
      <c r="F10" s="2" t="s">
        <v>32</v>
      </c>
      <c r="G10" s="17">
        <v>160</v>
      </c>
      <c r="H10" s="19">
        <v>4.71</v>
      </c>
      <c r="I10" s="19">
        <v>4.9000000000000004</v>
      </c>
      <c r="J10" s="41">
        <v>61.59</v>
      </c>
      <c r="K10" s="41">
        <v>2.7711600000000001</v>
      </c>
      <c r="L10" s="41">
        <v>3.4209999999999998</v>
      </c>
      <c r="M10" s="41">
        <v>0</v>
      </c>
      <c r="N10" s="41">
        <v>1.7999999999999999E-2</v>
      </c>
      <c r="O10" s="41">
        <v>9.0060000000000001E-2</v>
      </c>
      <c r="P10" s="41">
        <v>1.9E-2</v>
      </c>
      <c r="Q10" s="42">
        <v>5.43</v>
      </c>
      <c r="R10" s="45"/>
      <c r="S10" s="45"/>
      <c r="T10" s="45"/>
      <c r="U10" s="50"/>
    </row>
    <row r="11" spans="1:28" x14ac:dyDescent="0.3">
      <c r="A11" s="2">
        <v>5</v>
      </c>
      <c r="B11" s="2" t="s">
        <v>27</v>
      </c>
      <c r="C11" s="2" t="s">
        <v>29</v>
      </c>
      <c r="D11" s="2" t="s">
        <v>29</v>
      </c>
      <c r="E11" s="2" t="s">
        <v>31</v>
      </c>
      <c r="F11" s="2" t="s">
        <v>32</v>
      </c>
      <c r="G11" s="2">
        <v>300</v>
      </c>
      <c r="H11" s="3">
        <v>4.55</v>
      </c>
      <c r="I11" s="3">
        <v>4.87</v>
      </c>
      <c r="J11" s="8">
        <v>64.38</v>
      </c>
      <c r="K11" s="8">
        <v>1.6752899999999999</v>
      </c>
      <c r="L11" s="8">
        <v>2.3010000000000002</v>
      </c>
      <c r="M11" s="8">
        <v>0</v>
      </c>
      <c r="N11" s="8">
        <v>2.1000000000000001E-2</v>
      </c>
      <c r="O11" s="8">
        <v>5.9450000000000003E-2</v>
      </c>
      <c r="P11" s="8">
        <v>0.114</v>
      </c>
      <c r="Q11" s="8">
        <v>3.64</v>
      </c>
      <c r="R11">
        <v>1180</v>
      </c>
      <c r="U11">
        <v>63.219152542372903</v>
      </c>
      <c r="V11">
        <v>2.2314247457627099</v>
      </c>
      <c r="W11">
        <v>2.8133050847457626</v>
      </c>
      <c r="X11">
        <v>0</v>
      </c>
      <c r="Y11">
        <v>2.6101694915254239E-2</v>
      </c>
      <c r="Z11">
        <v>7.2373389830508478E-2</v>
      </c>
      <c r="AA11">
        <v>3.5271186440677969E-2</v>
      </c>
      <c r="AB11">
        <v>4.2372881355932206</v>
      </c>
    </row>
    <row r="12" spans="1:28" x14ac:dyDescent="0.3">
      <c r="A12" s="2">
        <v>8</v>
      </c>
      <c r="B12" s="2" t="s">
        <v>41</v>
      </c>
      <c r="C12" s="2" t="s">
        <v>43</v>
      </c>
      <c r="D12" s="2" t="s">
        <v>43</v>
      </c>
      <c r="E12" s="2" t="s">
        <v>31</v>
      </c>
      <c r="F12" s="2" t="s">
        <v>32</v>
      </c>
      <c r="G12" s="2">
        <v>260</v>
      </c>
      <c r="H12" s="3">
        <v>4.66</v>
      </c>
      <c r="I12" s="3">
        <v>4.8099999999999996</v>
      </c>
      <c r="J12" s="8">
        <v>64.5</v>
      </c>
      <c r="K12" s="8">
        <v>1.3253299999999999</v>
      </c>
      <c r="L12" s="8">
        <v>2.6739999999999999</v>
      </c>
      <c r="M12" s="8">
        <v>0</v>
      </c>
      <c r="N12" s="8">
        <v>1.9E-2</v>
      </c>
      <c r="O12" s="8">
        <v>5.4260000000000003E-2</v>
      </c>
      <c r="P12" s="8">
        <v>9.4E-2</v>
      </c>
      <c r="Q12" s="8">
        <v>3.46</v>
      </c>
    </row>
    <row r="13" spans="1:28" x14ac:dyDescent="0.3">
      <c r="A13" s="2">
        <v>10</v>
      </c>
      <c r="B13" s="2" t="s">
        <v>49</v>
      </c>
      <c r="C13" s="2" t="s">
        <v>51</v>
      </c>
      <c r="D13" s="2" t="s">
        <v>51</v>
      </c>
      <c r="E13" s="2" t="s">
        <v>31</v>
      </c>
      <c r="F13" s="2" t="s">
        <v>32</v>
      </c>
      <c r="G13" s="2">
        <v>200</v>
      </c>
      <c r="H13" s="3">
        <v>4.5199999999999996</v>
      </c>
      <c r="I13" s="3">
        <v>4.84</v>
      </c>
      <c r="J13" s="8">
        <v>62.63</v>
      </c>
      <c r="K13" s="8">
        <v>1.62754</v>
      </c>
      <c r="L13" s="8">
        <v>4.5460000000000003</v>
      </c>
      <c r="M13" s="8">
        <v>0</v>
      </c>
      <c r="N13" s="8">
        <v>2.4E-2</v>
      </c>
      <c r="O13" s="8">
        <v>6.54E-2</v>
      </c>
      <c r="P13" s="8">
        <v>1.6E-2</v>
      </c>
      <c r="Q13" s="8">
        <v>4.05</v>
      </c>
    </row>
    <row r="14" spans="1:28" x14ac:dyDescent="0.3">
      <c r="A14" s="2">
        <v>12</v>
      </c>
      <c r="B14" s="2" t="s">
        <v>56</v>
      </c>
      <c r="C14" s="2" t="s">
        <v>58</v>
      </c>
      <c r="D14" s="2" t="s">
        <v>58</v>
      </c>
      <c r="E14" s="2" t="s">
        <v>59</v>
      </c>
      <c r="F14" s="2" t="s">
        <v>32</v>
      </c>
      <c r="G14" s="2">
        <v>200</v>
      </c>
      <c r="H14" s="3">
        <v>4.67</v>
      </c>
      <c r="I14" s="3">
        <v>4.8499999999999996</v>
      </c>
      <c r="J14" s="8">
        <v>64.849999999999994</v>
      </c>
      <c r="K14" s="8">
        <v>2.6828500000000002</v>
      </c>
      <c r="L14" s="8">
        <v>1.607</v>
      </c>
      <c r="M14" s="8">
        <v>0</v>
      </c>
      <c r="N14" s="8">
        <v>5.8999999999999997E-2</v>
      </c>
      <c r="O14" s="8">
        <v>4.8489999999999998E-2</v>
      </c>
      <c r="P14" s="8">
        <v>7.0000000000000001E-3</v>
      </c>
      <c r="Q14" s="8">
        <v>2.74</v>
      </c>
    </row>
    <row r="15" spans="1:28" x14ac:dyDescent="0.3">
      <c r="A15" s="2">
        <v>14</v>
      </c>
      <c r="B15" s="2" t="s">
        <v>65</v>
      </c>
      <c r="C15" s="2" t="s">
        <v>67</v>
      </c>
      <c r="D15" s="2" t="s">
        <v>67</v>
      </c>
      <c r="E15" s="2" t="s">
        <v>68</v>
      </c>
      <c r="F15" s="2" t="s">
        <v>32</v>
      </c>
      <c r="G15" s="2">
        <v>200</v>
      </c>
      <c r="H15" s="3">
        <v>4.55</v>
      </c>
      <c r="I15" s="3">
        <v>4.87</v>
      </c>
      <c r="J15" s="8">
        <v>62.52</v>
      </c>
      <c r="K15" s="8">
        <v>2.81026</v>
      </c>
      <c r="L15" s="8">
        <v>3.9689999999999999</v>
      </c>
      <c r="M15" s="8">
        <v>0</v>
      </c>
      <c r="N15" s="8">
        <v>2.1000000000000001E-2</v>
      </c>
      <c r="O15" s="8">
        <v>4.0469999999999999E-2</v>
      </c>
      <c r="P15" s="8">
        <v>5.1999999999999998E-2</v>
      </c>
      <c r="Q15" s="8">
        <v>3.59</v>
      </c>
    </row>
    <row r="16" spans="1:28" x14ac:dyDescent="0.3">
      <c r="A16" s="2">
        <v>16</v>
      </c>
      <c r="B16" s="2" t="s">
        <v>75</v>
      </c>
      <c r="C16" s="2" t="s">
        <v>77</v>
      </c>
      <c r="D16" s="2" t="s">
        <v>77</v>
      </c>
      <c r="E16" s="2" t="s">
        <v>59</v>
      </c>
      <c r="F16" s="2" t="s">
        <v>32</v>
      </c>
      <c r="G16" s="2">
        <v>200</v>
      </c>
      <c r="H16" s="3">
        <v>4.47</v>
      </c>
      <c r="I16" s="3">
        <v>4.75</v>
      </c>
      <c r="J16" s="8">
        <v>63.16</v>
      </c>
      <c r="K16" s="8">
        <v>2.9662600000000001</v>
      </c>
      <c r="L16" s="8">
        <v>2.9620000000000002</v>
      </c>
      <c r="M16" s="8">
        <v>0</v>
      </c>
      <c r="N16" s="8">
        <v>6.8000000000000005E-2</v>
      </c>
      <c r="O16" s="8">
        <v>5.2299999999999999E-2</v>
      </c>
      <c r="P16" s="8">
        <v>3.5999999999999997E-2</v>
      </c>
      <c r="Q16" s="8">
        <v>3.48</v>
      </c>
    </row>
    <row r="17" spans="1:17" x14ac:dyDescent="0.3">
      <c r="A17" s="2">
        <v>22</v>
      </c>
      <c r="B17" s="2" t="s">
        <v>99</v>
      </c>
      <c r="C17" s="2" t="s">
        <v>101</v>
      </c>
      <c r="D17" s="2" t="s">
        <v>101</v>
      </c>
      <c r="E17" s="2" t="s">
        <v>31</v>
      </c>
      <c r="F17" s="2" t="s">
        <v>32</v>
      </c>
      <c r="G17" s="2">
        <v>200</v>
      </c>
      <c r="H17" s="3">
        <v>4.5199999999999996</v>
      </c>
      <c r="I17" s="3">
        <v>4.79</v>
      </c>
      <c r="J17" s="8">
        <v>63.09</v>
      </c>
      <c r="K17" s="8">
        <v>2.3571399999999998</v>
      </c>
      <c r="L17" s="8">
        <v>3.08</v>
      </c>
      <c r="M17" s="8">
        <v>0</v>
      </c>
      <c r="N17" s="8">
        <v>1.9E-2</v>
      </c>
      <c r="O17" s="8">
        <v>6.019E-2</v>
      </c>
      <c r="P17" s="8">
        <v>6.7000000000000004E-2</v>
      </c>
      <c r="Q17" s="8">
        <v>4.05</v>
      </c>
    </row>
    <row r="18" spans="1:17" x14ac:dyDescent="0.3">
      <c r="A18" s="2">
        <v>24</v>
      </c>
      <c r="B18" s="2" t="s">
        <v>107</v>
      </c>
      <c r="C18" s="2" t="s">
        <v>109</v>
      </c>
      <c r="D18" s="2" t="s">
        <v>109</v>
      </c>
      <c r="E18" s="2" t="s">
        <v>59</v>
      </c>
      <c r="F18" s="2" t="s">
        <v>32</v>
      </c>
      <c r="G18" s="2">
        <v>300</v>
      </c>
      <c r="H18" s="3">
        <v>4.54</v>
      </c>
      <c r="I18" s="3">
        <v>4.79</v>
      </c>
      <c r="J18" s="8">
        <v>62.5</v>
      </c>
      <c r="K18" s="8">
        <v>1.8590599999999999</v>
      </c>
      <c r="L18" s="8">
        <v>3.4350000000000001</v>
      </c>
      <c r="M18" s="8">
        <v>0</v>
      </c>
      <c r="N18" s="8">
        <v>2.1000000000000001E-2</v>
      </c>
      <c r="O18" s="8">
        <v>7.8070000000000001E-2</v>
      </c>
      <c r="P18" s="8">
        <v>4.3999999999999997E-2</v>
      </c>
      <c r="Q18" s="8">
        <v>5.0199999999999996</v>
      </c>
    </row>
    <row r="19" spans="1:17" x14ac:dyDescent="0.3">
      <c r="A19" s="2">
        <v>26</v>
      </c>
      <c r="B19" s="2" t="s">
        <v>115</v>
      </c>
      <c r="C19" s="2" t="s">
        <v>117</v>
      </c>
      <c r="D19" s="2" t="s">
        <v>117</v>
      </c>
      <c r="E19" s="2" t="s">
        <v>31</v>
      </c>
      <c r="F19" s="2" t="s">
        <v>32</v>
      </c>
      <c r="G19" s="2">
        <v>200</v>
      </c>
      <c r="H19" s="3">
        <v>4.5</v>
      </c>
      <c r="I19" s="3">
        <v>4.75</v>
      </c>
      <c r="J19" s="8">
        <v>63.53</v>
      </c>
      <c r="K19" s="8">
        <v>1.9568700000000001</v>
      </c>
      <c r="L19" s="8">
        <v>2.3940000000000001</v>
      </c>
      <c r="M19" s="8">
        <v>0</v>
      </c>
      <c r="N19" s="8">
        <v>5.7000000000000002E-2</v>
      </c>
      <c r="O19" s="8">
        <v>9.4509999999999997E-2</v>
      </c>
      <c r="P19" s="8">
        <v>1E-3</v>
      </c>
      <c r="Q19" s="8">
        <v>4.4800000000000004</v>
      </c>
    </row>
    <row r="20" spans="1:17" x14ac:dyDescent="0.3">
      <c r="A20" s="2">
        <v>28</v>
      </c>
      <c r="B20" s="2" t="s">
        <v>123</v>
      </c>
      <c r="C20" s="2" t="s">
        <v>125</v>
      </c>
      <c r="D20" s="2" t="s">
        <v>125</v>
      </c>
      <c r="E20" s="2" t="s">
        <v>31</v>
      </c>
      <c r="F20" s="2" t="s">
        <v>32</v>
      </c>
      <c r="G20" s="2">
        <v>160</v>
      </c>
      <c r="H20" s="3">
        <v>4.5599999999999996</v>
      </c>
      <c r="I20" s="3">
        <v>4.74</v>
      </c>
      <c r="J20" s="8">
        <v>63.54</v>
      </c>
      <c r="K20" s="8">
        <v>2.0718100000000002</v>
      </c>
      <c r="L20" s="8">
        <v>2.585</v>
      </c>
      <c r="M20" s="8">
        <v>0</v>
      </c>
      <c r="N20" s="8">
        <v>4.3999999999999997E-2</v>
      </c>
      <c r="O20" s="8">
        <v>7.016E-2</v>
      </c>
      <c r="P20" s="8">
        <v>6.0000000000000001E-3</v>
      </c>
      <c r="Q20" s="8">
        <v>4.21</v>
      </c>
    </row>
    <row r="21" spans="1:17" x14ac:dyDescent="0.3">
      <c r="A21" s="2">
        <v>36</v>
      </c>
      <c r="B21" s="2" t="s">
        <v>157</v>
      </c>
      <c r="C21" s="2" t="s">
        <v>159</v>
      </c>
      <c r="D21" s="2" t="s">
        <v>159</v>
      </c>
      <c r="E21" s="2" t="s">
        <v>160</v>
      </c>
      <c r="F21" s="2" t="s">
        <v>32</v>
      </c>
      <c r="G21" s="2">
        <v>200</v>
      </c>
      <c r="H21" s="3">
        <v>4.71</v>
      </c>
      <c r="I21" s="3">
        <v>4.9000000000000004</v>
      </c>
      <c r="J21" s="8">
        <v>64.89</v>
      </c>
      <c r="K21" s="8">
        <v>1.2928200000000001</v>
      </c>
      <c r="L21" s="8">
        <v>1.486</v>
      </c>
      <c r="M21" s="8">
        <v>0</v>
      </c>
      <c r="N21" s="8">
        <v>1.4999999999999999E-2</v>
      </c>
      <c r="O21" s="8">
        <v>8.6279999999999996E-2</v>
      </c>
      <c r="P21" s="8">
        <v>2.8000000000000001E-2</v>
      </c>
      <c r="Q21" s="8">
        <v>4.1399999999999997</v>
      </c>
    </row>
    <row r="22" spans="1:17" ht="15" thickBot="1" x14ac:dyDescent="0.35">
      <c r="A22" s="2">
        <v>39</v>
      </c>
      <c r="B22" s="2" t="s">
        <v>172</v>
      </c>
      <c r="C22" s="2" t="s">
        <v>168</v>
      </c>
      <c r="D22" s="2" t="s">
        <v>168</v>
      </c>
      <c r="E22" s="2" t="s">
        <v>169</v>
      </c>
      <c r="F22" s="2" t="s">
        <v>32</v>
      </c>
      <c r="G22" s="2">
        <v>200</v>
      </c>
      <c r="H22" s="3">
        <v>4.5199999999999996</v>
      </c>
      <c r="I22" s="3">
        <v>4.7300000000000004</v>
      </c>
      <c r="J22" s="8">
        <v>62.86</v>
      </c>
      <c r="K22" s="8">
        <v>2.9698500000000001</v>
      </c>
      <c r="L22" s="8">
        <v>2.6</v>
      </c>
      <c r="M22" s="8">
        <v>0</v>
      </c>
      <c r="N22" s="8">
        <v>2.9000000000000001E-2</v>
      </c>
      <c r="O22" s="8">
        <v>4.5179999999999998E-2</v>
      </c>
      <c r="P22" s="8">
        <v>1.4999999999999999E-2</v>
      </c>
      <c r="Q22" s="8">
        <v>4.1500000000000004</v>
      </c>
    </row>
    <row r="23" spans="1:17" ht="15" thickBot="1" x14ac:dyDescent="0.35">
      <c r="G23" s="10">
        <f>SUM(G4:G22)</f>
        <v>3800</v>
      </c>
      <c r="H23" s="12">
        <f t="shared" ref="H23:Q23" si="2">SUMPRODUCT($G$4:$G$22,H4:H22)/$G$23</f>
        <v>4.5228947368421055</v>
      </c>
      <c r="I23" s="12">
        <f t="shared" si="2"/>
        <v>4.8164210526315792</v>
      </c>
      <c r="J23" s="12">
        <f t="shared" si="2"/>
        <v>63.448684210526316</v>
      </c>
      <c r="K23" s="12">
        <f t="shared" si="2"/>
        <v>2.1321525263157892</v>
      </c>
      <c r="L23" s="12">
        <f t="shared" si="2"/>
        <v>2.8100368421052631</v>
      </c>
      <c r="M23" s="12">
        <f t="shared" si="2"/>
        <v>0</v>
      </c>
      <c r="N23" s="12">
        <f t="shared" si="2"/>
        <v>2.9942105263157891E-2</v>
      </c>
      <c r="O23" s="12">
        <f t="shared" si="2"/>
        <v>6.5935210526315791E-2</v>
      </c>
      <c r="P23" s="12">
        <f t="shared" si="2"/>
        <v>4.179473684210526E-2</v>
      </c>
      <c r="Q23" s="13">
        <f t="shared" si="2"/>
        <v>4.0282105263157897</v>
      </c>
    </row>
  </sheetData>
  <mergeCells count="9">
    <mergeCell ref="A1:A3"/>
    <mergeCell ref="B1:B3"/>
    <mergeCell ref="C1:C3"/>
    <mergeCell ref="D1:D3"/>
    <mergeCell ref="J1:Q1"/>
    <mergeCell ref="E1:E3"/>
    <mergeCell ref="F1:F3"/>
    <mergeCell ref="G1:G3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DC9C-5A0D-463C-A541-5EB84CFC0730}">
  <dimension ref="A1:G62"/>
  <sheetViews>
    <sheetView showGridLines="0" topLeftCell="A38" workbookViewId="0">
      <selection activeCell="B21" sqref="B21"/>
    </sheetView>
  </sheetViews>
  <sheetFormatPr defaultRowHeight="14.4" outlineLevelRow="1" x14ac:dyDescent="0.3"/>
  <cols>
    <col min="1" max="1" width="2.21875" customWidth="1"/>
    <col min="2" max="2" width="6.109375" bestFit="1" customWidth="1"/>
    <col min="3" max="3" width="13.5546875" bestFit="1" customWidth="1"/>
    <col min="4" max="4" width="12.44140625" bestFit="1" customWidth="1"/>
    <col min="5" max="5" width="11.77734375" bestFit="1" customWidth="1"/>
    <col min="6" max="6" width="10.44140625" bestFit="1" customWidth="1"/>
    <col min="7" max="7" width="11.77734375" bestFit="1" customWidth="1"/>
  </cols>
  <sheetData>
    <row r="1" spans="1:5" x14ac:dyDescent="0.3">
      <c r="A1" s="61" t="s">
        <v>436</v>
      </c>
    </row>
    <row r="2" spans="1:5" x14ac:dyDescent="0.3">
      <c r="A2" s="61" t="s">
        <v>437</v>
      </c>
    </row>
    <row r="3" spans="1:5" x14ac:dyDescent="0.3">
      <c r="A3" s="61" t="s">
        <v>438</v>
      </c>
    </row>
    <row r="4" spans="1:5" x14ac:dyDescent="0.3">
      <c r="A4" s="61" t="s">
        <v>439</v>
      </c>
    </row>
    <row r="5" spans="1:5" x14ac:dyDescent="0.3">
      <c r="A5" s="61" t="s">
        <v>440</v>
      </c>
    </row>
    <row r="6" spans="1:5" hidden="1" outlineLevel="1" x14ac:dyDescent="0.3">
      <c r="A6" s="61"/>
      <c r="B6" t="s">
        <v>441</v>
      </c>
    </row>
    <row r="7" spans="1:5" hidden="1" outlineLevel="1" x14ac:dyDescent="0.3">
      <c r="A7" s="61"/>
      <c r="B7" t="s">
        <v>442</v>
      </c>
    </row>
    <row r="8" spans="1:5" hidden="1" outlineLevel="1" x14ac:dyDescent="0.3">
      <c r="A8" s="61"/>
      <c r="B8" t="s">
        <v>443</v>
      </c>
    </row>
    <row r="9" spans="1:5" collapsed="1" x14ac:dyDescent="0.3">
      <c r="A9" s="61" t="s">
        <v>444</v>
      </c>
    </row>
    <row r="10" spans="1:5" hidden="1" outlineLevel="1" x14ac:dyDescent="0.3">
      <c r="B10" t="s">
        <v>445</v>
      </c>
    </row>
    <row r="11" spans="1:5" hidden="1" outlineLevel="1" x14ac:dyDescent="0.3">
      <c r="B11" t="s">
        <v>446</v>
      </c>
    </row>
    <row r="12" spans="1:5" hidden="1" outlineLevel="1" x14ac:dyDescent="0.3">
      <c r="B12" t="s">
        <v>447</v>
      </c>
    </row>
    <row r="13" spans="1:5" collapsed="1" x14ac:dyDescent="0.3"/>
    <row r="14" spans="1:5" ht="15" thickBot="1" x14ac:dyDescent="0.35">
      <c r="A14" t="s">
        <v>448</v>
      </c>
    </row>
    <row r="15" spans="1:5" ht="15" thickBot="1" x14ac:dyDescent="0.35">
      <c r="B15" s="63" t="s">
        <v>449</v>
      </c>
      <c r="C15" s="63" t="s">
        <v>450</v>
      </c>
      <c r="D15" s="63" t="s">
        <v>451</v>
      </c>
      <c r="E15" s="63" t="s">
        <v>452</v>
      </c>
    </row>
    <row r="16" spans="1:5" ht="15" thickBot="1" x14ac:dyDescent="0.35">
      <c r="B16" s="62" t="s">
        <v>460</v>
      </c>
      <c r="C16" s="62" t="s">
        <v>16</v>
      </c>
      <c r="D16" s="65">
        <v>61.629868028948479</v>
      </c>
      <c r="E16" s="65">
        <v>61.499940899012174</v>
      </c>
    </row>
    <row r="19" spans="1:6" ht="15" thickBot="1" x14ac:dyDescent="0.35">
      <c r="A19" t="s">
        <v>453</v>
      </c>
    </row>
    <row r="20" spans="1:6" ht="15" thickBot="1" x14ac:dyDescent="0.35">
      <c r="B20" s="63" t="s">
        <v>449</v>
      </c>
      <c r="C20" s="63" t="s">
        <v>450</v>
      </c>
      <c r="D20" s="63" t="s">
        <v>451</v>
      </c>
      <c r="E20" s="63" t="s">
        <v>452</v>
      </c>
      <c r="F20" s="63" t="s">
        <v>454</v>
      </c>
    </row>
    <row r="21" spans="1:6" x14ac:dyDescent="0.3">
      <c r="B21" s="69" t="s">
        <v>502</v>
      </c>
      <c r="C21" s="68"/>
      <c r="D21" s="68"/>
      <c r="E21" s="68"/>
      <c r="F21" s="68"/>
    </row>
    <row r="22" spans="1:6" ht="43.2" hidden="1" outlineLevel="1" x14ac:dyDescent="0.3">
      <c r="B22" s="64" t="s">
        <v>461</v>
      </c>
      <c r="C22" s="66" t="s">
        <v>462</v>
      </c>
      <c r="D22" s="64">
        <v>800</v>
      </c>
      <c r="E22" s="64">
        <v>799.93602161642809</v>
      </c>
      <c r="F22" s="64" t="s">
        <v>463</v>
      </c>
    </row>
    <row r="23" spans="1:6" ht="43.2" hidden="1" outlineLevel="1" x14ac:dyDescent="0.3">
      <c r="B23" s="64" t="s">
        <v>464</v>
      </c>
      <c r="C23" s="66" t="s">
        <v>462</v>
      </c>
      <c r="D23" s="64">
        <v>560</v>
      </c>
      <c r="E23" s="64">
        <v>560.00166264235168</v>
      </c>
      <c r="F23" s="64" t="s">
        <v>463</v>
      </c>
    </row>
    <row r="24" spans="1:6" ht="43.2" hidden="1" outlineLevel="1" x14ac:dyDescent="0.3">
      <c r="B24" s="64" t="s">
        <v>465</v>
      </c>
      <c r="C24" s="66" t="s">
        <v>462</v>
      </c>
      <c r="D24" s="64">
        <v>385</v>
      </c>
      <c r="E24" s="64">
        <v>385.01645477236201</v>
      </c>
      <c r="F24" s="64" t="s">
        <v>463</v>
      </c>
    </row>
    <row r="25" spans="1:6" ht="43.2" hidden="1" outlineLevel="1" x14ac:dyDescent="0.3">
      <c r="B25" s="64" t="s">
        <v>466</v>
      </c>
      <c r="C25" s="66" t="s">
        <v>462</v>
      </c>
      <c r="D25" s="64">
        <v>800</v>
      </c>
      <c r="E25" s="64">
        <v>799.96602742314997</v>
      </c>
      <c r="F25" s="64" t="s">
        <v>463</v>
      </c>
    </row>
    <row r="26" spans="1:6" ht="43.2" hidden="1" outlineLevel="1" x14ac:dyDescent="0.3">
      <c r="B26" s="64" t="s">
        <v>467</v>
      </c>
      <c r="C26" s="66" t="s">
        <v>462</v>
      </c>
      <c r="D26" s="64">
        <v>800</v>
      </c>
      <c r="E26" s="64">
        <v>799.97451963259948</v>
      </c>
      <c r="F26" s="64" t="s">
        <v>463</v>
      </c>
    </row>
    <row r="27" spans="1:6" ht="43.2" hidden="1" outlineLevel="1" x14ac:dyDescent="0.3">
      <c r="B27" s="64" t="s">
        <v>468</v>
      </c>
      <c r="C27" s="66" t="s">
        <v>462</v>
      </c>
      <c r="D27" s="64">
        <v>800</v>
      </c>
      <c r="E27" s="64">
        <v>799.96036594720192</v>
      </c>
      <c r="F27" s="64" t="s">
        <v>463</v>
      </c>
    </row>
    <row r="28" spans="1:6" ht="43.2" hidden="1" outlineLevel="1" x14ac:dyDescent="0.3">
      <c r="B28" s="64" t="s">
        <v>469</v>
      </c>
      <c r="C28" s="66" t="s">
        <v>462</v>
      </c>
      <c r="D28" s="64">
        <v>720</v>
      </c>
      <c r="E28" s="64">
        <v>720.03782976741786</v>
      </c>
      <c r="F28" s="64" t="s">
        <v>463</v>
      </c>
    </row>
    <row r="29" spans="1:6" ht="43.2" hidden="1" outlineLevel="1" x14ac:dyDescent="0.3">
      <c r="B29" s="64" t="s">
        <v>470</v>
      </c>
      <c r="C29" s="66" t="s">
        <v>462</v>
      </c>
      <c r="D29" s="64">
        <v>800</v>
      </c>
      <c r="E29" s="64">
        <v>799.97508578287795</v>
      </c>
      <c r="F29" s="64" t="s">
        <v>463</v>
      </c>
    </row>
    <row r="30" spans="1:6" ht="43.2" hidden="1" outlineLevel="1" x14ac:dyDescent="0.3">
      <c r="B30" s="64" t="s">
        <v>471</v>
      </c>
      <c r="C30" s="66" t="s">
        <v>462</v>
      </c>
      <c r="D30" s="64">
        <v>1200</v>
      </c>
      <c r="E30" s="64">
        <v>1200.1553990334783</v>
      </c>
      <c r="F30" s="64" t="s">
        <v>463</v>
      </c>
    </row>
    <row r="31" spans="1:6" ht="43.2" hidden="1" outlineLevel="1" x14ac:dyDescent="0.3">
      <c r="B31" s="64" t="s">
        <v>472</v>
      </c>
      <c r="C31" s="66" t="s">
        <v>462</v>
      </c>
      <c r="D31" s="64">
        <v>800</v>
      </c>
      <c r="E31" s="64">
        <v>799.98527643123566</v>
      </c>
      <c r="F31" s="64" t="s">
        <v>463</v>
      </c>
    </row>
    <row r="32" spans="1:6" ht="43.2" hidden="1" outlineLevel="1" x14ac:dyDescent="0.3">
      <c r="B32" s="64" t="s">
        <v>473</v>
      </c>
      <c r="C32" s="66" t="s">
        <v>462</v>
      </c>
      <c r="D32" s="64">
        <v>640</v>
      </c>
      <c r="E32" s="64">
        <v>640.0014469463822</v>
      </c>
      <c r="F32" s="64" t="s">
        <v>463</v>
      </c>
    </row>
    <row r="33" spans="2:6" ht="43.2" hidden="1" outlineLevel="1" x14ac:dyDescent="0.3">
      <c r="B33" s="64" t="s">
        <v>474</v>
      </c>
      <c r="C33" s="66" t="s">
        <v>462</v>
      </c>
      <c r="D33" s="64">
        <v>560</v>
      </c>
      <c r="E33" s="64">
        <v>559.99264674678318</v>
      </c>
      <c r="F33" s="64" t="s">
        <v>463</v>
      </c>
    </row>
    <row r="34" spans="2:6" ht="43.2" hidden="1" outlineLevel="1" x14ac:dyDescent="0.3">
      <c r="B34" s="64" t="s">
        <v>475</v>
      </c>
      <c r="C34" s="66" t="s">
        <v>462</v>
      </c>
      <c r="D34" s="64">
        <v>640</v>
      </c>
      <c r="E34" s="64">
        <v>639.98169972590244</v>
      </c>
      <c r="F34" s="64" t="s">
        <v>463</v>
      </c>
    </row>
    <row r="35" spans="2:6" ht="43.2" hidden="1" outlineLevel="1" x14ac:dyDescent="0.3">
      <c r="B35" s="64" t="s">
        <v>476</v>
      </c>
      <c r="C35" s="66" t="s">
        <v>477</v>
      </c>
      <c r="D35" s="64">
        <v>640</v>
      </c>
      <c r="E35" s="64">
        <v>640.07246446860972</v>
      </c>
      <c r="F35" s="64" t="s">
        <v>463</v>
      </c>
    </row>
    <row r="36" spans="2:6" ht="43.2" hidden="1" outlineLevel="1" x14ac:dyDescent="0.3">
      <c r="B36" s="64" t="s">
        <v>478</v>
      </c>
      <c r="C36" s="66" t="s">
        <v>462</v>
      </c>
      <c r="D36" s="64">
        <v>800</v>
      </c>
      <c r="E36" s="64">
        <v>799.945646120471</v>
      </c>
      <c r="F36" s="64" t="s">
        <v>463</v>
      </c>
    </row>
    <row r="37" spans="2:6" ht="43.2" hidden="1" outlineLevel="1" x14ac:dyDescent="0.3">
      <c r="B37" s="64" t="s">
        <v>479</v>
      </c>
      <c r="C37" s="66" t="s">
        <v>462</v>
      </c>
      <c r="D37" s="64">
        <v>800</v>
      </c>
      <c r="E37" s="64">
        <v>800.0158483882359</v>
      </c>
      <c r="F37" s="64" t="s">
        <v>463</v>
      </c>
    </row>
    <row r="38" spans="2:6" collapsed="1" x14ac:dyDescent="0.3">
      <c r="B38" s="64"/>
      <c r="C38" s="66"/>
      <c r="D38" s="64"/>
      <c r="E38" s="64"/>
      <c r="F38" s="64"/>
    </row>
    <row r="39" spans="2:6" x14ac:dyDescent="0.3">
      <c r="B39" s="70" t="s">
        <v>503</v>
      </c>
      <c r="C39" s="66"/>
      <c r="D39" s="64"/>
      <c r="E39" s="64"/>
      <c r="F39" s="64"/>
    </row>
    <row r="40" spans="2:6" hidden="1" outlineLevel="1" x14ac:dyDescent="0.3">
      <c r="B40" s="64" t="s">
        <v>480</v>
      </c>
      <c r="C40" s="64" t="s">
        <v>481</v>
      </c>
      <c r="D40" s="64">
        <v>63.89</v>
      </c>
      <c r="E40" s="64">
        <v>63.745564053768355</v>
      </c>
      <c r="F40" s="64" t="s">
        <v>463</v>
      </c>
    </row>
    <row r="41" spans="2:6" hidden="1" outlineLevel="1" x14ac:dyDescent="0.3">
      <c r="B41" s="64" t="s">
        <v>482</v>
      </c>
      <c r="C41" s="64" t="s">
        <v>481</v>
      </c>
      <c r="D41" s="64">
        <v>61.51</v>
      </c>
      <c r="E41" s="64">
        <v>61.416287177949656</v>
      </c>
      <c r="F41" s="64" t="s">
        <v>463</v>
      </c>
    </row>
    <row r="42" spans="2:6" hidden="1" outlineLevel="1" x14ac:dyDescent="0.3">
      <c r="B42" s="64" t="s">
        <v>483</v>
      </c>
      <c r="C42" s="64" t="s">
        <v>481</v>
      </c>
      <c r="D42" s="64">
        <v>59.12</v>
      </c>
      <c r="E42" s="64">
        <v>59.060481892047193</v>
      </c>
      <c r="F42" s="64" t="s">
        <v>463</v>
      </c>
    </row>
    <row r="43" spans="2:6" hidden="1" outlineLevel="1" x14ac:dyDescent="0.3">
      <c r="B43" s="64" t="s">
        <v>484</v>
      </c>
      <c r="C43" s="64" t="s">
        <v>481</v>
      </c>
      <c r="D43" s="64">
        <v>62.83</v>
      </c>
      <c r="E43" s="64">
        <v>62.690316967792441</v>
      </c>
      <c r="F43" s="64" t="s">
        <v>463</v>
      </c>
    </row>
    <row r="44" spans="2:6" hidden="1" outlineLevel="1" x14ac:dyDescent="0.3">
      <c r="B44" s="64" t="s">
        <v>485</v>
      </c>
      <c r="C44" s="64" t="s">
        <v>481</v>
      </c>
      <c r="D44" s="64">
        <v>62.53</v>
      </c>
      <c r="E44" s="64">
        <v>62.391647701330101</v>
      </c>
      <c r="F44" s="64" t="s">
        <v>463</v>
      </c>
    </row>
    <row r="45" spans="2:6" hidden="1" outlineLevel="1" x14ac:dyDescent="0.3">
      <c r="B45" s="64" t="s">
        <v>486</v>
      </c>
      <c r="C45" s="64" t="s">
        <v>481</v>
      </c>
      <c r="D45" s="64">
        <v>63.03</v>
      </c>
      <c r="E45" s="64">
        <v>62.889426273657712</v>
      </c>
      <c r="F45" s="64" t="s">
        <v>463</v>
      </c>
    </row>
    <row r="46" spans="2:6" hidden="1" outlineLevel="1" x14ac:dyDescent="0.3">
      <c r="B46" s="64" t="s">
        <v>487</v>
      </c>
      <c r="C46" s="64" t="s">
        <v>481</v>
      </c>
      <c r="D46" s="64">
        <v>59.98</v>
      </c>
      <c r="E46" s="64">
        <v>59.865431564852571</v>
      </c>
      <c r="F46" s="64" t="s">
        <v>463</v>
      </c>
    </row>
    <row r="47" spans="2:6" hidden="1" outlineLevel="1" x14ac:dyDescent="0.3">
      <c r="B47" s="64" t="s">
        <v>488</v>
      </c>
      <c r="C47" s="64" t="s">
        <v>481</v>
      </c>
      <c r="D47" s="64">
        <v>62.51</v>
      </c>
      <c r="E47" s="64">
        <v>62.371736178510218</v>
      </c>
      <c r="F47" s="64" t="s">
        <v>463</v>
      </c>
    </row>
    <row r="48" spans="2:6" hidden="1" outlineLevel="1" x14ac:dyDescent="0.3">
      <c r="B48" s="64" t="s">
        <v>489</v>
      </c>
      <c r="C48" s="64" t="s">
        <v>481</v>
      </c>
      <c r="D48" s="64">
        <v>59.19</v>
      </c>
      <c r="E48" s="64">
        <v>59.004049448277925</v>
      </c>
      <c r="F48" s="64" t="s">
        <v>463</v>
      </c>
    </row>
    <row r="49" spans="1:7" hidden="1" outlineLevel="1" x14ac:dyDescent="0.3">
      <c r="B49" s="64" t="s">
        <v>490</v>
      </c>
      <c r="C49" s="64" t="s">
        <v>481</v>
      </c>
      <c r="D49" s="64">
        <v>62.15</v>
      </c>
      <c r="E49" s="64">
        <v>62.013324150842827</v>
      </c>
      <c r="F49" s="64" t="s">
        <v>463</v>
      </c>
    </row>
    <row r="50" spans="1:7" hidden="1" outlineLevel="1" x14ac:dyDescent="0.3">
      <c r="B50" s="64" t="s">
        <v>491</v>
      </c>
      <c r="C50" s="64" t="s">
        <v>481</v>
      </c>
      <c r="D50" s="64">
        <v>61.55</v>
      </c>
      <c r="E50" s="64">
        <v>61.442760285361956</v>
      </c>
      <c r="F50" s="64" t="s">
        <v>463</v>
      </c>
    </row>
    <row r="51" spans="1:7" hidden="1" outlineLevel="1" x14ac:dyDescent="0.3">
      <c r="B51" s="64" t="s">
        <v>492</v>
      </c>
      <c r="C51" s="64" t="s">
        <v>481</v>
      </c>
      <c r="D51" s="64">
        <v>62.16</v>
      </c>
      <c r="E51" s="64">
        <v>62.064296110471219</v>
      </c>
      <c r="F51" s="64" t="s">
        <v>463</v>
      </c>
    </row>
    <row r="52" spans="1:7" hidden="1" outlineLevel="1" x14ac:dyDescent="0.3">
      <c r="B52" s="64" t="s">
        <v>493</v>
      </c>
      <c r="C52" s="64" t="s">
        <v>481</v>
      </c>
      <c r="D52" s="64">
        <v>62.64</v>
      </c>
      <c r="E52" s="64">
        <v>62.528928401497822</v>
      </c>
      <c r="F52" s="64" t="s">
        <v>463</v>
      </c>
    </row>
    <row r="53" spans="1:7" hidden="1" outlineLevel="1" x14ac:dyDescent="0.3">
      <c r="B53" s="64" t="s">
        <v>494</v>
      </c>
      <c r="C53" s="64" t="s">
        <v>495</v>
      </c>
      <c r="D53" s="64">
        <v>57.63</v>
      </c>
      <c r="E53" s="64">
        <v>57.535985082795769</v>
      </c>
      <c r="F53" s="64" t="s">
        <v>463</v>
      </c>
    </row>
    <row r="54" spans="1:7" hidden="1" outlineLevel="1" x14ac:dyDescent="0.3">
      <c r="B54" s="64" t="s">
        <v>496</v>
      </c>
      <c r="C54" s="64" t="s">
        <v>481</v>
      </c>
      <c r="D54" s="64">
        <v>63.55</v>
      </c>
      <c r="E54" s="64">
        <v>63.407097233104096</v>
      </c>
      <c r="F54" s="64" t="s">
        <v>463</v>
      </c>
    </row>
    <row r="55" spans="1:7" ht="15" hidden="1" outlineLevel="1" thickBot="1" x14ac:dyDescent="0.35">
      <c r="B55" s="62" t="s">
        <v>497</v>
      </c>
      <c r="C55" s="62" t="s">
        <v>481</v>
      </c>
      <c r="D55" s="62">
        <v>61.07</v>
      </c>
      <c r="E55" s="62">
        <v>60.938032993655185</v>
      </c>
      <c r="F55" s="62" t="s">
        <v>463</v>
      </c>
    </row>
    <row r="56" spans="1:7" collapsed="1" x14ac:dyDescent="0.3"/>
    <row r="59" spans="1:7" ht="15" thickBot="1" x14ac:dyDescent="0.35">
      <c r="A59" t="s">
        <v>455</v>
      </c>
    </row>
    <row r="60" spans="1:7" ht="15" thickBot="1" x14ac:dyDescent="0.35">
      <c r="B60" s="63" t="s">
        <v>449</v>
      </c>
      <c r="C60" s="63" t="s">
        <v>450</v>
      </c>
      <c r="D60" s="63" t="s">
        <v>456</v>
      </c>
      <c r="E60" s="63" t="s">
        <v>457</v>
      </c>
      <c r="F60" s="63" t="s">
        <v>458</v>
      </c>
      <c r="G60" s="63" t="s">
        <v>459</v>
      </c>
    </row>
    <row r="61" spans="1:7" x14ac:dyDescent="0.3">
      <c r="B61" s="64" t="s">
        <v>460</v>
      </c>
      <c r="C61" s="64" t="s">
        <v>16</v>
      </c>
      <c r="D61" s="67">
        <v>61.499940899012174</v>
      </c>
      <c r="E61" s="64" t="s">
        <v>498</v>
      </c>
      <c r="F61" s="64" t="s">
        <v>499</v>
      </c>
      <c r="G61" s="64">
        <v>0.50005910098782635</v>
      </c>
    </row>
    <row r="62" spans="1:7" ht="15" thickBot="1" x14ac:dyDescent="0.35">
      <c r="B62" s="62" t="s">
        <v>460</v>
      </c>
      <c r="C62" s="62" t="s">
        <v>16</v>
      </c>
      <c r="D62" s="65">
        <v>61.499940899012174</v>
      </c>
      <c r="E62" s="62" t="s">
        <v>500</v>
      </c>
      <c r="F62" s="62" t="s">
        <v>501</v>
      </c>
      <c r="G62" s="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94B9-7401-41C3-B4D0-B9BECA12D8DB}">
  <dimension ref="A1:E50"/>
  <sheetViews>
    <sheetView showGridLines="0" workbookViewId="0">
      <selection activeCell="B21" sqref="B21"/>
    </sheetView>
  </sheetViews>
  <sheetFormatPr defaultRowHeight="14.4" outlineLevelRow="1" x14ac:dyDescent="0.3"/>
  <cols>
    <col min="1" max="1" width="2.21875" customWidth="1"/>
    <col min="2" max="2" width="6.21875" bestFit="1" customWidth="1"/>
    <col min="3" max="3" width="13.5546875" bestFit="1" customWidth="1"/>
    <col min="4" max="4" width="11.77734375" bestFit="1" customWidth="1"/>
    <col min="5" max="5" width="9" bestFit="1" customWidth="1"/>
  </cols>
  <sheetData>
    <row r="1" spans="1:5" x14ac:dyDescent="0.3">
      <c r="A1" s="61" t="s">
        <v>504</v>
      </c>
    </row>
    <row r="2" spans="1:5" x14ac:dyDescent="0.3">
      <c r="A2" s="61" t="s">
        <v>437</v>
      </c>
    </row>
    <row r="3" spans="1:5" x14ac:dyDescent="0.3">
      <c r="A3" s="61" t="s">
        <v>505</v>
      </c>
    </row>
    <row r="6" spans="1:5" ht="15" thickBot="1" x14ac:dyDescent="0.35">
      <c r="A6" t="s">
        <v>453</v>
      </c>
    </row>
    <row r="7" spans="1:5" x14ac:dyDescent="0.3">
      <c r="B7" s="71"/>
      <c r="C7" s="71"/>
      <c r="D7" s="71" t="s">
        <v>506</v>
      </c>
      <c r="E7" s="71" t="s">
        <v>508</v>
      </c>
    </row>
    <row r="8" spans="1:5" ht="15" thickBot="1" x14ac:dyDescent="0.35">
      <c r="B8" s="72" t="s">
        <v>449</v>
      </c>
      <c r="C8" s="72" t="s">
        <v>450</v>
      </c>
      <c r="D8" s="72" t="s">
        <v>507</v>
      </c>
      <c r="E8" s="72" t="s">
        <v>509</v>
      </c>
    </row>
    <row r="9" spans="1:5" x14ac:dyDescent="0.3">
      <c r="B9" s="69" t="s">
        <v>502</v>
      </c>
      <c r="C9" s="68"/>
      <c r="D9" s="68"/>
      <c r="E9" s="68"/>
    </row>
    <row r="10" spans="1:5" ht="43.2" hidden="1" outlineLevel="1" x14ac:dyDescent="0.3">
      <c r="B10" s="64" t="s">
        <v>461</v>
      </c>
      <c r="C10" s="66" t="s">
        <v>462</v>
      </c>
      <c r="D10" s="64">
        <v>799.93602161642809</v>
      </c>
      <c r="E10" s="64">
        <v>0</v>
      </c>
    </row>
    <row r="11" spans="1:5" ht="43.2" hidden="1" outlineLevel="1" x14ac:dyDescent="0.3">
      <c r="B11" s="64" t="s">
        <v>464</v>
      </c>
      <c r="C11" s="66" t="s">
        <v>462</v>
      </c>
      <c r="D11" s="64">
        <v>560.00166264235168</v>
      </c>
      <c r="E11" s="64">
        <v>0</v>
      </c>
    </row>
    <row r="12" spans="1:5" ht="43.2" hidden="1" outlineLevel="1" x14ac:dyDescent="0.3">
      <c r="B12" s="64" t="s">
        <v>465</v>
      </c>
      <c r="C12" s="66" t="s">
        <v>462</v>
      </c>
      <c r="D12" s="64">
        <v>385.01645477236201</v>
      </c>
      <c r="E12" s="64">
        <v>0</v>
      </c>
    </row>
    <row r="13" spans="1:5" ht="43.2" hidden="1" outlineLevel="1" x14ac:dyDescent="0.3">
      <c r="B13" s="64" t="s">
        <v>466</v>
      </c>
      <c r="C13" s="66" t="s">
        <v>462</v>
      </c>
      <c r="D13" s="64">
        <v>799.96602742314997</v>
      </c>
      <c r="E13" s="64">
        <v>0</v>
      </c>
    </row>
    <row r="14" spans="1:5" ht="43.2" hidden="1" outlineLevel="1" x14ac:dyDescent="0.3">
      <c r="B14" s="64" t="s">
        <v>467</v>
      </c>
      <c r="C14" s="66" t="s">
        <v>462</v>
      </c>
      <c r="D14" s="64">
        <v>799.97451963259948</v>
      </c>
      <c r="E14" s="64">
        <v>0</v>
      </c>
    </row>
    <row r="15" spans="1:5" ht="43.2" hidden="1" outlineLevel="1" x14ac:dyDescent="0.3">
      <c r="B15" s="64" t="s">
        <v>468</v>
      </c>
      <c r="C15" s="66" t="s">
        <v>462</v>
      </c>
      <c r="D15" s="64">
        <v>799.96036594720192</v>
      </c>
      <c r="E15" s="64">
        <v>0</v>
      </c>
    </row>
    <row r="16" spans="1:5" ht="43.2" hidden="1" outlineLevel="1" x14ac:dyDescent="0.3">
      <c r="B16" s="64" t="s">
        <v>469</v>
      </c>
      <c r="C16" s="66" t="s">
        <v>462</v>
      </c>
      <c r="D16" s="64">
        <v>720.03782976741786</v>
      </c>
      <c r="E16" s="64">
        <v>0</v>
      </c>
    </row>
    <row r="17" spans="2:5" ht="43.2" hidden="1" outlineLevel="1" x14ac:dyDescent="0.3">
      <c r="B17" s="64" t="s">
        <v>470</v>
      </c>
      <c r="C17" s="66" t="s">
        <v>462</v>
      </c>
      <c r="D17" s="64">
        <v>799.97508578287795</v>
      </c>
      <c r="E17" s="64">
        <v>0</v>
      </c>
    </row>
    <row r="18" spans="2:5" ht="43.2" hidden="1" outlineLevel="1" x14ac:dyDescent="0.3">
      <c r="B18" s="64" t="s">
        <v>471</v>
      </c>
      <c r="C18" s="66" t="s">
        <v>462</v>
      </c>
      <c r="D18" s="64">
        <v>1200.1553990334783</v>
      </c>
      <c r="E18" s="64">
        <v>0</v>
      </c>
    </row>
    <row r="19" spans="2:5" ht="43.2" hidden="1" outlineLevel="1" x14ac:dyDescent="0.3">
      <c r="B19" s="64" t="s">
        <v>472</v>
      </c>
      <c r="C19" s="66" t="s">
        <v>462</v>
      </c>
      <c r="D19" s="64">
        <v>799.98527643123566</v>
      </c>
      <c r="E19" s="64">
        <v>0</v>
      </c>
    </row>
    <row r="20" spans="2:5" ht="43.2" hidden="1" outlineLevel="1" x14ac:dyDescent="0.3">
      <c r="B20" s="64" t="s">
        <v>473</v>
      </c>
      <c r="C20" s="66" t="s">
        <v>462</v>
      </c>
      <c r="D20" s="64">
        <v>640.0014469463822</v>
      </c>
      <c r="E20" s="64">
        <v>0</v>
      </c>
    </row>
    <row r="21" spans="2:5" ht="43.2" hidden="1" outlineLevel="1" x14ac:dyDescent="0.3">
      <c r="B21" s="64" t="s">
        <v>474</v>
      </c>
      <c r="C21" s="66" t="s">
        <v>462</v>
      </c>
      <c r="D21" s="64">
        <v>559.99264674678318</v>
      </c>
      <c r="E21" s="64">
        <v>0</v>
      </c>
    </row>
    <row r="22" spans="2:5" ht="43.2" hidden="1" outlineLevel="1" x14ac:dyDescent="0.3">
      <c r="B22" s="64" t="s">
        <v>475</v>
      </c>
      <c r="C22" s="66" t="s">
        <v>462</v>
      </c>
      <c r="D22" s="64">
        <v>639.98169972590244</v>
      </c>
      <c r="E22" s="64">
        <v>0</v>
      </c>
    </row>
    <row r="23" spans="2:5" ht="43.2" hidden="1" outlineLevel="1" x14ac:dyDescent="0.3">
      <c r="B23" s="64" t="s">
        <v>476</v>
      </c>
      <c r="C23" s="66" t="s">
        <v>477</v>
      </c>
      <c r="D23" s="64">
        <v>640.07246446860972</v>
      </c>
      <c r="E23" s="64">
        <v>0</v>
      </c>
    </row>
    <row r="24" spans="2:5" ht="43.2" hidden="1" outlineLevel="1" x14ac:dyDescent="0.3">
      <c r="B24" s="64" t="s">
        <v>478</v>
      </c>
      <c r="C24" s="66" t="s">
        <v>462</v>
      </c>
      <c r="D24" s="64">
        <v>799.945646120471</v>
      </c>
      <c r="E24" s="64">
        <v>0</v>
      </c>
    </row>
    <row r="25" spans="2:5" ht="43.2" hidden="1" outlineLevel="1" x14ac:dyDescent="0.3">
      <c r="B25" s="64" t="s">
        <v>479</v>
      </c>
      <c r="C25" s="66" t="s">
        <v>462</v>
      </c>
      <c r="D25" s="64">
        <v>800.0158483882359</v>
      </c>
      <c r="E25" s="64">
        <v>0</v>
      </c>
    </row>
    <row r="26" spans="2:5" collapsed="1" x14ac:dyDescent="0.3">
      <c r="B26" s="64"/>
      <c r="C26" s="66"/>
      <c r="D26" s="64"/>
      <c r="E26" s="64"/>
    </row>
    <row r="27" spans="2:5" x14ac:dyDescent="0.3">
      <c r="B27" s="70" t="s">
        <v>503</v>
      </c>
      <c r="C27" s="66"/>
      <c r="D27" s="64"/>
      <c r="E27" s="64"/>
    </row>
    <row r="28" spans="2:5" hidden="1" outlineLevel="1" x14ac:dyDescent="0.3">
      <c r="B28" s="64" t="s">
        <v>480</v>
      </c>
      <c r="C28" s="64" t="s">
        <v>481</v>
      </c>
      <c r="D28" s="64">
        <v>63.745564053768355</v>
      </c>
      <c r="E28" s="64">
        <v>0</v>
      </c>
    </row>
    <row r="29" spans="2:5" hidden="1" outlineLevel="1" x14ac:dyDescent="0.3">
      <c r="B29" s="64" t="s">
        <v>482</v>
      </c>
      <c r="C29" s="64" t="s">
        <v>481</v>
      </c>
      <c r="D29" s="64">
        <v>61.416287177949656</v>
      </c>
      <c r="E29" s="64">
        <v>0</v>
      </c>
    </row>
    <row r="30" spans="2:5" hidden="1" outlineLevel="1" x14ac:dyDescent="0.3">
      <c r="B30" s="64" t="s">
        <v>483</v>
      </c>
      <c r="C30" s="64" t="s">
        <v>481</v>
      </c>
      <c r="D30" s="64">
        <v>59.060481892047193</v>
      </c>
      <c r="E30" s="64">
        <v>0</v>
      </c>
    </row>
    <row r="31" spans="2:5" hidden="1" outlineLevel="1" x14ac:dyDescent="0.3">
      <c r="B31" s="64" t="s">
        <v>484</v>
      </c>
      <c r="C31" s="64" t="s">
        <v>481</v>
      </c>
      <c r="D31" s="64">
        <v>62.690316967792441</v>
      </c>
      <c r="E31" s="64">
        <v>0</v>
      </c>
    </row>
    <row r="32" spans="2:5" hidden="1" outlineLevel="1" x14ac:dyDescent="0.3">
      <c r="B32" s="64" t="s">
        <v>485</v>
      </c>
      <c r="C32" s="64" t="s">
        <v>481</v>
      </c>
      <c r="D32" s="64">
        <v>62.391647701330101</v>
      </c>
      <c r="E32" s="64">
        <v>0</v>
      </c>
    </row>
    <row r="33" spans="1:5" hidden="1" outlineLevel="1" x14ac:dyDescent="0.3">
      <c r="B33" s="64" t="s">
        <v>486</v>
      </c>
      <c r="C33" s="64" t="s">
        <v>481</v>
      </c>
      <c r="D33" s="64">
        <v>62.889426273657712</v>
      </c>
      <c r="E33" s="64">
        <v>0</v>
      </c>
    </row>
    <row r="34" spans="1:5" hidden="1" outlineLevel="1" x14ac:dyDescent="0.3">
      <c r="B34" s="64" t="s">
        <v>487</v>
      </c>
      <c r="C34" s="64" t="s">
        <v>481</v>
      </c>
      <c r="D34" s="64">
        <v>59.865431564852571</v>
      </c>
      <c r="E34" s="64">
        <v>0</v>
      </c>
    </row>
    <row r="35" spans="1:5" hidden="1" outlineLevel="1" x14ac:dyDescent="0.3">
      <c r="B35" s="64" t="s">
        <v>488</v>
      </c>
      <c r="C35" s="64" t="s">
        <v>481</v>
      </c>
      <c r="D35" s="64">
        <v>62.371736178510218</v>
      </c>
      <c r="E35" s="64">
        <v>0</v>
      </c>
    </row>
    <row r="36" spans="1:5" hidden="1" outlineLevel="1" x14ac:dyDescent="0.3">
      <c r="B36" s="64" t="s">
        <v>489</v>
      </c>
      <c r="C36" s="64" t="s">
        <v>481</v>
      </c>
      <c r="D36" s="64">
        <v>59.004049448277925</v>
      </c>
      <c r="E36" s="64">
        <v>0</v>
      </c>
    </row>
    <row r="37" spans="1:5" hidden="1" outlineLevel="1" x14ac:dyDescent="0.3">
      <c r="B37" s="64" t="s">
        <v>490</v>
      </c>
      <c r="C37" s="64" t="s">
        <v>481</v>
      </c>
      <c r="D37" s="64">
        <v>62.013324150842827</v>
      </c>
      <c r="E37" s="64">
        <v>0</v>
      </c>
    </row>
    <row r="38" spans="1:5" hidden="1" outlineLevel="1" x14ac:dyDescent="0.3">
      <c r="B38" s="64" t="s">
        <v>491</v>
      </c>
      <c r="C38" s="64" t="s">
        <v>481</v>
      </c>
      <c r="D38" s="64">
        <v>61.442760285361956</v>
      </c>
      <c r="E38" s="64">
        <v>0</v>
      </c>
    </row>
    <row r="39" spans="1:5" hidden="1" outlineLevel="1" x14ac:dyDescent="0.3">
      <c r="B39" s="64" t="s">
        <v>492</v>
      </c>
      <c r="C39" s="64" t="s">
        <v>481</v>
      </c>
      <c r="D39" s="64">
        <v>62.064296110471219</v>
      </c>
      <c r="E39" s="64">
        <v>0</v>
      </c>
    </row>
    <row r="40" spans="1:5" hidden="1" outlineLevel="1" x14ac:dyDescent="0.3">
      <c r="B40" s="64" t="s">
        <v>493</v>
      </c>
      <c r="C40" s="64" t="s">
        <v>481</v>
      </c>
      <c r="D40" s="64">
        <v>62.528928401497822</v>
      </c>
      <c r="E40" s="64">
        <v>0</v>
      </c>
    </row>
    <row r="41" spans="1:5" hidden="1" outlineLevel="1" x14ac:dyDescent="0.3">
      <c r="B41" s="64" t="s">
        <v>494</v>
      </c>
      <c r="C41" s="64" t="s">
        <v>495</v>
      </c>
      <c r="D41" s="64">
        <v>57.535985082795769</v>
      </c>
      <c r="E41" s="64">
        <v>0</v>
      </c>
    </row>
    <row r="42" spans="1:5" hidden="1" outlineLevel="1" x14ac:dyDescent="0.3">
      <c r="B42" s="64" t="s">
        <v>496</v>
      </c>
      <c r="C42" s="64" t="s">
        <v>481</v>
      </c>
      <c r="D42" s="64">
        <v>63.407097233104096</v>
      </c>
      <c r="E42" s="64">
        <v>0</v>
      </c>
    </row>
    <row r="43" spans="1:5" ht="15" hidden="1" outlineLevel="1" thickBot="1" x14ac:dyDescent="0.35">
      <c r="B43" s="62" t="s">
        <v>497</v>
      </c>
      <c r="C43" s="62" t="s">
        <v>481</v>
      </c>
      <c r="D43" s="62">
        <v>60.938032993655185</v>
      </c>
      <c r="E43" s="62">
        <v>0</v>
      </c>
    </row>
    <row r="44" spans="1:5" collapsed="1" x14ac:dyDescent="0.3"/>
    <row r="46" spans="1:5" ht="15" thickBot="1" x14ac:dyDescent="0.35">
      <c r="A46" t="s">
        <v>455</v>
      </c>
    </row>
    <row r="47" spans="1:5" x14ac:dyDescent="0.3">
      <c r="B47" s="71"/>
      <c r="C47" s="71"/>
      <c r="D47" s="71" t="s">
        <v>506</v>
      </c>
      <c r="E47" s="71" t="s">
        <v>510</v>
      </c>
    </row>
    <row r="48" spans="1:5" ht="15" thickBot="1" x14ac:dyDescent="0.35">
      <c r="B48" s="72" t="s">
        <v>449</v>
      </c>
      <c r="C48" s="72" t="s">
        <v>450</v>
      </c>
      <c r="D48" s="72" t="s">
        <v>507</v>
      </c>
      <c r="E48" s="72" t="s">
        <v>511</v>
      </c>
    </row>
    <row r="49" spans="2:5" x14ac:dyDescent="0.3">
      <c r="B49" s="64" t="s">
        <v>460</v>
      </c>
      <c r="C49" s="64" t="s">
        <v>16</v>
      </c>
      <c r="D49" s="64">
        <v>61.499940899012174</v>
      </c>
      <c r="E49" s="64">
        <v>0</v>
      </c>
    </row>
    <row r="50" spans="2:5" ht="15" thickBot="1" x14ac:dyDescent="0.35">
      <c r="B50" s="62" t="s">
        <v>460</v>
      </c>
      <c r="C50" s="62" t="s">
        <v>16</v>
      </c>
      <c r="D50" s="62">
        <v>61.499940899012174</v>
      </c>
      <c r="E50" s="6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1B6F-908B-4CAE-BD62-394E04D15EE0}">
  <dimension ref="A1:J48"/>
  <sheetViews>
    <sheetView showGridLines="0" workbookViewId="0">
      <selection activeCell="B21" sqref="B21"/>
    </sheetView>
  </sheetViews>
  <sheetFormatPr defaultRowHeight="14.4" outlineLevelRow="1" x14ac:dyDescent="0.3"/>
  <cols>
    <col min="1" max="1" width="2.21875" customWidth="1"/>
    <col min="2" max="2" width="6.21875" bestFit="1" customWidth="1"/>
    <col min="3" max="3" width="13.5546875" bestFit="1" customWidth="1"/>
    <col min="4" max="4" width="11.77734375" bestFit="1" customWidth="1"/>
    <col min="5" max="5" width="2.21875" customWidth="1"/>
    <col min="6" max="6" width="5.88671875" bestFit="1" customWidth="1"/>
    <col min="7" max="7" width="11.77734375" bestFit="1" customWidth="1"/>
    <col min="8" max="8" width="2.21875" customWidth="1"/>
    <col min="9" max="10" width="11.77734375" bestFit="1" customWidth="1"/>
  </cols>
  <sheetData>
    <row r="1" spans="1:10" x14ac:dyDescent="0.3">
      <c r="A1" s="61" t="s">
        <v>512</v>
      </c>
    </row>
    <row r="2" spans="1:10" x14ac:dyDescent="0.3">
      <c r="A2" s="61" t="s">
        <v>437</v>
      </c>
    </row>
    <row r="3" spans="1:10" x14ac:dyDescent="0.3">
      <c r="A3" s="61" t="s">
        <v>513</v>
      </c>
    </row>
    <row r="5" spans="1:10" ht="15" thickBot="1" x14ac:dyDescent="0.35"/>
    <row r="6" spans="1:10" x14ac:dyDescent="0.3">
      <c r="B6" s="71"/>
      <c r="C6" s="71" t="s">
        <v>514</v>
      </c>
      <c r="D6" s="71"/>
    </row>
    <row r="7" spans="1:10" ht="15" thickBot="1" x14ac:dyDescent="0.35">
      <c r="B7" s="72" t="s">
        <v>449</v>
      </c>
      <c r="C7" s="72" t="s">
        <v>450</v>
      </c>
      <c r="D7" s="72" t="s">
        <v>507</v>
      </c>
    </row>
    <row r="8" spans="1:10" ht="15" thickBot="1" x14ac:dyDescent="0.35">
      <c r="B8" s="62" t="s">
        <v>460</v>
      </c>
      <c r="C8" s="62" t="s">
        <v>16</v>
      </c>
      <c r="D8" s="65">
        <v>61.499940899012174</v>
      </c>
    </row>
    <row r="10" spans="1:10" ht="15" thickBot="1" x14ac:dyDescent="0.35"/>
    <row r="11" spans="1:10" x14ac:dyDescent="0.3">
      <c r="B11" s="71"/>
      <c r="C11" s="71" t="s">
        <v>515</v>
      </c>
      <c r="D11" s="71"/>
      <c r="F11" s="71" t="s">
        <v>516</v>
      </c>
      <c r="G11" s="71" t="s">
        <v>514</v>
      </c>
      <c r="I11" s="71" t="s">
        <v>519</v>
      </c>
      <c r="J11" s="71" t="s">
        <v>514</v>
      </c>
    </row>
    <row r="12" spans="1:10" ht="15" thickBot="1" x14ac:dyDescent="0.35">
      <c r="B12" s="72" t="s">
        <v>449</v>
      </c>
      <c r="C12" s="72" t="s">
        <v>450</v>
      </c>
      <c r="D12" s="72" t="s">
        <v>507</v>
      </c>
      <c r="F12" s="72" t="s">
        <v>517</v>
      </c>
      <c r="G12" s="72" t="s">
        <v>518</v>
      </c>
      <c r="I12" s="72" t="s">
        <v>517</v>
      </c>
      <c r="J12" s="72" t="s">
        <v>518</v>
      </c>
    </row>
    <row r="13" spans="1:10" x14ac:dyDescent="0.3">
      <c r="B13" s="69" t="s">
        <v>502</v>
      </c>
      <c r="C13" s="68"/>
      <c r="D13" s="68"/>
      <c r="F13" s="68"/>
      <c r="G13" s="68"/>
      <c r="I13" s="68"/>
      <c r="J13" s="68"/>
    </row>
    <row r="14" spans="1:10" ht="43.2" hidden="1" outlineLevel="1" x14ac:dyDescent="0.3">
      <c r="B14" s="64" t="s">
        <v>461</v>
      </c>
      <c r="C14" s="66" t="s">
        <v>462</v>
      </c>
      <c r="D14" s="64">
        <v>799.93602161642809</v>
      </c>
      <c r="F14" s="64">
        <v>0</v>
      </c>
      <c r="G14" s="64">
        <v>61.335816519577548</v>
      </c>
      <c r="I14" s="64">
        <v>4164.9540928038941</v>
      </c>
      <c r="J14" s="64">
        <v>62.000043100189409</v>
      </c>
    </row>
    <row r="15" spans="1:10" ht="43.2" hidden="1" outlineLevel="1" x14ac:dyDescent="0.3">
      <c r="B15" s="64" t="s">
        <v>464</v>
      </c>
      <c r="C15" s="66" t="s">
        <v>462</v>
      </c>
      <c r="D15" s="64">
        <v>560.00166264235168</v>
      </c>
      <c r="F15" s="64">
        <v>0</v>
      </c>
      <c r="G15" s="64">
        <v>61.504129200558815</v>
      </c>
      <c r="I15" s="64" t="e">
        <v>#N/A</v>
      </c>
      <c r="J15" s="64" t="e">
        <v>#N/A</v>
      </c>
    </row>
    <row r="16" spans="1:10" ht="43.2" hidden="1" outlineLevel="1" x14ac:dyDescent="0.3">
      <c r="B16" s="64" t="s">
        <v>465</v>
      </c>
      <c r="C16" s="66" t="s">
        <v>462</v>
      </c>
      <c r="D16" s="64">
        <v>385.01645477236201</v>
      </c>
      <c r="F16" s="64">
        <v>0</v>
      </c>
      <c r="G16" s="64">
        <v>61.582619745664601</v>
      </c>
      <c r="I16" s="64" t="e">
        <v>#N/A</v>
      </c>
      <c r="J16" s="64" t="e">
        <v>#N/A</v>
      </c>
    </row>
    <row r="17" spans="2:10" ht="43.2" hidden="1" outlineLevel="1" x14ac:dyDescent="0.3">
      <c r="B17" s="64" t="s">
        <v>466</v>
      </c>
      <c r="C17" s="66" t="s">
        <v>462</v>
      </c>
      <c r="D17" s="64">
        <v>799.96602742314997</v>
      </c>
      <c r="F17" s="64">
        <v>0</v>
      </c>
      <c r="G17" s="64">
        <v>61.412937165922337</v>
      </c>
      <c r="I17" s="64">
        <v>9308.9991333249473</v>
      </c>
      <c r="J17" s="64">
        <v>62.000035873938558</v>
      </c>
    </row>
    <row r="18" spans="2:10" ht="43.2" hidden="1" outlineLevel="1" x14ac:dyDescent="0.3">
      <c r="B18" s="64" t="s">
        <v>467</v>
      </c>
      <c r="C18" s="66" t="s">
        <v>462</v>
      </c>
      <c r="D18" s="64">
        <v>799.97451963259948</v>
      </c>
      <c r="F18" s="64">
        <v>0</v>
      </c>
      <c r="G18" s="64">
        <v>61.434765945952932</v>
      </c>
      <c r="I18" s="64">
        <v>15797.345512239286</v>
      </c>
      <c r="J18" s="64">
        <v>62.000018043837812</v>
      </c>
    </row>
    <row r="19" spans="2:10" ht="43.2" hidden="1" outlineLevel="1" x14ac:dyDescent="0.3">
      <c r="B19" s="64" t="s">
        <v>468</v>
      </c>
      <c r="C19" s="66" t="s">
        <v>462</v>
      </c>
      <c r="D19" s="64">
        <v>799.96036594720192</v>
      </c>
      <c r="F19" s="64">
        <v>0</v>
      </c>
      <c r="G19" s="64">
        <v>61.398385180825578</v>
      </c>
      <c r="I19" s="64">
        <v>7403.7650111420644</v>
      </c>
      <c r="J19" s="64">
        <v>62.00002147372755</v>
      </c>
    </row>
    <row r="20" spans="2:10" ht="43.2" hidden="1" outlineLevel="1" x14ac:dyDescent="0.3">
      <c r="B20" s="64" t="s">
        <v>469</v>
      </c>
      <c r="C20" s="66" t="s">
        <v>462</v>
      </c>
      <c r="D20" s="64">
        <v>720.03782976741786</v>
      </c>
      <c r="F20" s="64">
        <v>0</v>
      </c>
      <c r="G20" s="64">
        <v>61.606690162350262</v>
      </c>
      <c r="I20" s="64" t="e">
        <v>#N/A</v>
      </c>
      <c r="J20" s="64" t="e">
        <v>#N/A</v>
      </c>
    </row>
    <row r="21" spans="2:10" ht="43.2" hidden="1" outlineLevel="1" x14ac:dyDescent="0.3">
      <c r="B21" s="64" t="s">
        <v>470</v>
      </c>
      <c r="C21" s="66" t="s">
        <v>462</v>
      </c>
      <c r="D21" s="64">
        <v>799.97508578287795</v>
      </c>
      <c r="F21" s="64">
        <v>0</v>
      </c>
      <c r="G21" s="64">
        <v>61.436221233062021</v>
      </c>
      <c r="I21" s="64">
        <v>16602.507394040054</v>
      </c>
      <c r="J21" s="64">
        <v>62.000042458625678</v>
      </c>
    </row>
    <row r="22" spans="2:10" ht="43.2" hidden="1" outlineLevel="1" x14ac:dyDescent="0.3">
      <c r="B22" s="64" t="s">
        <v>471</v>
      </c>
      <c r="C22" s="66" t="s">
        <v>462</v>
      </c>
      <c r="D22" s="64">
        <v>1200.1553990334783</v>
      </c>
      <c r="F22" s="64">
        <v>0</v>
      </c>
      <c r="G22" s="64">
        <v>61.78400884764455</v>
      </c>
      <c r="I22" s="64" t="e">
        <v>#N/A</v>
      </c>
      <c r="J22" s="64" t="e">
        <v>#N/A</v>
      </c>
    </row>
    <row r="23" spans="2:10" ht="43.2" hidden="1" outlineLevel="1" x14ac:dyDescent="0.3">
      <c r="B23" s="64" t="s">
        <v>472</v>
      </c>
      <c r="C23" s="66" t="s">
        <v>462</v>
      </c>
      <c r="D23" s="64">
        <v>799.98527643123566</v>
      </c>
      <c r="F23" s="64">
        <v>0</v>
      </c>
      <c r="G23" s="64">
        <v>61.462417116474015</v>
      </c>
      <c r="I23" s="64">
        <v>440401.92000000004</v>
      </c>
      <c r="J23" s="64">
        <v>61.999964814538473</v>
      </c>
    </row>
    <row r="24" spans="2:10" ht="43.2" hidden="1" outlineLevel="1" x14ac:dyDescent="0.3">
      <c r="B24" s="64" t="s">
        <v>473</v>
      </c>
      <c r="C24" s="66" t="s">
        <v>462</v>
      </c>
      <c r="D24" s="64">
        <v>640.0014469463822</v>
      </c>
      <c r="F24" s="64">
        <v>0</v>
      </c>
      <c r="G24" s="64">
        <v>61.503236317258107</v>
      </c>
      <c r="I24" s="64" t="e">
        <v>#N/A</v>
      </c>
      <c r="J24" s="64" t="e">
        <v>#N/A</v>
      </c>
    </row>
    <row r="25" spans="2:10" ht="43.2" hidden="1" outlineLevel="1" x14ac:dyDescent="0.3">
      <c r="B25" s="64" t="s">
        <v>474</v>
      </c>
      <c r="C25" s="66" t="s">
        <v>462</v>
      </c>
      <c r="D25" s="64">
        <v>559.99264674678318</v>
      </c>
      <c r="F25" s="64">
        <v>0</v>
      </c>
      <c r="G25" s="64">
        <v>61.471685732178322</v>
      </c>
      <c r="I25" s="64">
        <v>91971.624922972725</v>
      </c>
      <c r="J25" s="64">
        <v>62.000040802674839</v>
      </c>
    </row>
    <row r="26" spans="2:10" ht="43.2" hidden="1" outlineLevel="1" x14ac:dyDescent="0.3">
      <c r="B26" s="64" t="s">
        <v>475</v>
      </c>
      <c r="C26" s="66" t="s">
        <v>462</v>
      </c>
      <c r="D26" s="64">
        <v>639.98169972590244</v>
      </c>
      <c r="F26" s="64">
        <v>0</v>
      </c>
      <c r="G26" s="64">
        <v>61.440640494260577</v>
      </c>
      <c r="I26" s="64">
        <v>11746.327771369313</v>
      </c>
      <c r="J26" s="64">
        <v>62.000055074796315</v>
      </c>
    </row>
    <row r="27" spans="2:10" ht="43.2" hidden="1" outlineLevel="1" x14ac:dyDescent="0.3">
      <c r="B27" s="64" t="s">
        <v>476</v>
      </c>
      <c r="C27" s="66" t="s">
        <v>477</v>
      </c>
      <c r="D27" s="64">
        <v>640.07246446860972</v>
      </c>
      <c r="F27" s="64">
        <v>0</v>
      </c>
      <c r="G27" s="64">
        <v>61.728417380041478</v>
      </c>
      <c r="I27" s="64" t="e">
        <v>#N/A</v>
      </c>
      <c r="J27" s="64" t="e">
        <v>#N/A</v>
      </c>
    </row>
    <row r="28" spans="2:10" ht="43.2" hidden="1" outlineLevel="1" x14ac:dyDescent="0.3">
      <c r="B28" s="64" t="s">
        <v>478</v>
      </c>
      <c r="C28" s="66" t="s">
        <v>462</v>
      </c>
      <c r="D28" s="64">
        <v>799.945646120471</v>
      </c>
      <c r="F28" s="64">
        <v>0</v>
      </c>
      <c r="G28" s="64">
        <v>61.360552021398554</v>
      </c>
      <c r="I28" s="64">
        <v>4974.4720592249059</v>
      </c>
      <c r="J28" s="64">
        <v>62.000047817038514</v>
      </c>
    </row>
    <row r="29" spans="2:10" ht="43.2" hidden="1" outlineLevel="1" x14ac:dyDescent="0.3">
      <c r="B29" s="64" t="s">
        <v>479</v>
      </c>
      <c r="C29" s="66" t="s">
        <v>462</v>
      </c>
      <c r="D29" s="64">
        <v>800.0158483882359</v>
      </c>
      <c r="F29" s="64">
        <v>0</v>
      </c>
      <c r="G29" s="64">
        <v>61.541013089510756</v>
      </c>
      <c r="I29" s="64" t="e">
        <v>#N/A</v>
      </c>
      <c r="J29" s="64" t="e">
        <v>#N/A</v>
      </c>
    </row>
    <row r="30" spans="2:10" collapsed="1" x14ac:dyDescent="0.3">
      <c r="B30" s="64"/>
      <c r="C30" s="66"/>
      <c r="D30" s="64"/>
      <c r="F30" s="64"/>
      <c r="G30" s="64"/>
      <c r="I30" s="64"/>
      <c r="J30" s="64"/>
    </row>
    <row r="31" spans="2:10" x14ac:dyDescent="0.3">
      <c r="B31" s="70" t="s">
        <v>503</v>
      </c>
      <c r="C31" s="66"/>
      <c r="D31" s="64"/>
      <c r="F31" s="64"/>
      <c r="G31" s="64"/>
      <c r="I31" s="64"/>
      <c r="J31" s="64"/>
    </row>
    <row r="32" spans="2:10" hidden="1" outlineLevel="1" x14ac:dyDescent="0.3">
      <c r="B32" s="64" t="s">
        <v>480</v>
      </c>
      <c r="C32" s="64" t="s">
        <v>481</v>
      </c>
      <c r="D32" s="64">
        <v>63.745564053768355</v>
      </c>
      <c r="F32" s="64">
        <v>0</v>
      </c>
      <c r="G32" s="64">
        <v>57.15832378203595</v>
      </c>
      <c r="I32" s="64">
        <v>71.087655397578516</v>
      </c>
      <c r="J32" s="64">
        <v>62</v>
      </c>
    </row>
    <row r="33" spans="2:10" hidden="1" outlineLevel="1" x14ac:dyDescent="0.3">
      <c r="B33" s="64" t="s">
        <v>482</v>
      </c>
      <c r="C33" s="64" t="s">
        <v>481</v>
      </c>
      <c r="D33" s="64">
        <v>61.416287177949656</v>
      </c>
      <c r="F33" s="64">
        <v>0</v>
      </c>
      <c r="G33" s="64">
        <v>58.571616585249593</v>
      </c>
      <c r="I33" s="64">
        <v>71.904119146518084</v>
      </c>
      <c r="J33" s="64">
        <v>62</v>
      </c>
    </row>
    <row r="34" spans="2:10" hidden="1" outlineLevel="1" x14ac:dyDescent="0.3">
      <c r="B34" s="64" t="s">
        <v>483</v>
      </c>
      <c r="C34" s="64" t="s">
        <v>481</v>
      </c>
      <c r="D34" s="64">
        <v>59.060481892047193</v>
      </c>
      <c r="F34" s="64">
        <v>0</v>
      </c>
      <c r="G34" s="64">
        <v>59.563864122492085</v>
      </c>
      <c r="I34" s="64">
        <v>74.314903533284237</v>
      </c>
      <c r="J34" s="64">
        <v>62</v>
      </c>
    </row>
    <row r="35" spans="2:10" hidden="1" outlineLevel="1" x14ac:dyDescent="0.3">
      <c r="B35" s="64" t="s">
        <v>484</v>
      </c>
      <c r="C35" s="64" t="s">
        <v>481</v>
      </c>
      <c r="D35" s="64">
        <v>62.690316967792441</v>
      </c>
      <c r="F35" s="64">
        <v>0</v>
      </c>
      <c r="G35" s="64">
        <v>57.23003495811809</v>
      </c>
      <c r="I35" s="64">
        <v>70.032132918190484</v>
      </c>
      <c r="J35" s="64">
        <v>62</v>
      </c>
    </row>
    <row r="36" spans="2:10" hidden="1" outlineLevel="1" x14ac:dyDescent="0.3">
      <c r="B36" s="64" t="s">
        <v>485</v>
      </c>
      <c r="C36" s="64" t="s">
        <v>481</v>
      </c>
      <c r="D36" s="64">
        <v>62.391647701330101</v>
      </c>
      <c r="F36" s="64">
        <v>0</v>
      </c>
      <c r="G36" s="64">
        <v>57.250332535834751</v>
      </c>
      <c r="I36" s="64">
        <v>69.733385713947484</v>
      </c>
      <c r="J36" s="64">
        <v>62</v>
      </c>
    </row>
    <row r="37" spans="2:10" hidden="1" outlineLevel="1" x14ac:dyDescent="0.3">
      <c r="B37" s="64" t="s">
        <v>486</v>
      </c>
      <c r="C37" s="64" t="s">
        <v>481</v>
      </c>
      <c r="D37" s="64">
        <v>62.889426273657712</v>
      </c>
      <c r="F37" s="64">
        <v>0</v>
      </c>
      <c r="G37" s="64">
        <v>57.216503720608628</v>
      </c>
      <c r="I37" s="64">
        <v>70.231294183523133</v>
      </c>
      <c r="J37" s="64">
        <v>62</v>
      </c>
    </row>
    <row r="38" spans="2:10" hidden="1" outlineLevel="1" x14ac:dyDescent="0.3">
      <c r="B38" s="64" t="s">
        <v>487</v>
      </c>
      <c r="C38" s="64" t="s">
        <v>481</v>
      </c>
      <c r="D38" s="64">
        <v>59.865431564852571</v>
      </c>
      <c r="F38" s="64">
        <v>0</v>
      </c>
      <c r="G38" s="64">
        <v>57.829842311617725</v>
      </c>
      <c r="I38" s="64">
        <v>68.022229856699056</v>
      </c>
      <c r="J38" s="64">
        <v>61.999999999999979</v>
      </c>
    </row>
    <row r="39" spans="2:10" hidden="1" outlineLevel="1" x14ac:dyDescent="0.3">
      <c r="B39" s="64" t="s">
        <v>488</v>
      </c>
      <c r="C39" s="64" t="s">
        <v>481</v>
      </c>
      <c r="D39" s="64">
        <v>62.371736178510218</v>
      </c>
      <c r="F39" s="64">
        <v>0</v>
      </c>
      <c r="G39" s="64">
        <v>57.251685739260402</v>
      </c>
      <c r="I39" s="64">
        <v>69.713468995306869</v>
      </c>
      <c r="J39" s="64">
        <v>62</v>
      </c>
    </row>
    <row r="40" spans="2:10" hidden="1" outlineLevel="1" x14ac:dyDescent="0.3">
      <c r="B40" s="64" t="s">
        <v>489</v>
      </c>
      <c r="C40" s="64" t="s">
        <v>481</v>
      </c>
      <c r="D40" s="64">
        <v>59.004049448277925</v>
      </c>
      <c r="F40" s="64">
        <v>0</v>
      </c>
      <c r="G40" s="64">
        <v>55.470658855686523</v>
      </c>
      <c r="I40" s="64">
        <v>63.897751834353663</v>
      </c>
      <c r="J40" s="64">
        <v>62</v>
      </c>
    </row>
    <row r="41" spans="2:10" hidden="1" outlineLevel="1" x14ac:dyDescent="0.3">
      <c r="B41" s="64" t="s">
        <v>490</v>
      </c>
      <c r="C41" s="64" t="s">
        <v>481</v>
      </c>
      <c r="D41" s="64">
        <v>62.013324150842827</v>
      </c>
      <c r="F41" s="64">
        <v>0</v>
      </c>
      <c r="G41" s="64">
        <v>57.276044043944715</v>
      </c>
      <c r="I41" s="64">
        <v>69.354963444646359</v>
      </c>
      <c r="J41" s="64">
        <v>62</v>
      </c>
    </row>
    <row r="42" spans="2:10" hidden="1" outlineLevel="1" x14ac:dyDescent="0.3">
      <c r="B42" s="64" t="s">
        <v>491</v>
      </c>
      <c r="C42" s="64" t="s">
        <v>481</v>
      </c>
      <c r="D42" s="64">
        <v>61.442760285361956</v>
      </c>
      <c r="F42" s="64">
        <v>0</v>
      </c>
      <c r="G42" s="64">
        <v>58.151844356033557</v>
      </c>
      <c r="I42" s="64">
        <v>70.619619756437544</v>
      </c>
      <c r="J42" s="64">
        <v>62</v>
      </c>
    </row>
    <row r="43" spans="2:10" hidden="1" outlineLevel="1" x14ac:dyDescent="0.3">
      <c r="B43" s="64" t="s">
        <v>492</v>
      </c>
      <c r="C43" s="64" t="s">
        <v>481</v>
      </c>
      <c r="D43" s="64">
        <v>62.064296110471219</v>
      </c>
      <c r="F43" s="64">
        <v>0</v>
      </c>
      <c r="G43" s="64">
        <v>58.540767207052994</v>
      </c>
      <c r="I43" s="64">
        <v>72.552296933395681</v>
      </c>
      <c r="J43" s="64">
        <v>62</v>
      </c>
    </row>
    <row r="44" spans="2:10" hidden="1" outlineLevel="1" x14ac:dyDescent="0.3">
      <c r="B44" s="64" t="s">
        <v>493</v>
      </c>
      <c r="C44" s="64" t="s">
        <v>481</v>
      </c>
      <c r="D44" s="64">
        <v>62.528928401497822</v>
      </c>
      <c r="F44" s="64">
        <v>0</v>
      </c>
      <c r="G44" s="64">
        <v>58.092762763305906</v>
      </c>
      <c r="I44" s="64">
        <v>71.706071032962683</v>
      </c>
      <c r="J44" s="64">
        <v>62</v>
      </c>
    </row>
    <row r="45" spans="2:10" hidden="1" outlineLevel="1" x14ac:dyDescent="0.3">
      <c r="B45" s="64" t="s">
        <v>494</v>
      </c>
      <c r="C45" s="64" t="s">
        <v>495</v>
      </c>
      <c r="D45" s="64">
        <v>57.535985082795769</v>
      </c>
      <c r="F45" s="64">
        <v>0</v>
      </c>
      <c r="G45" s="64">
        <v>58.364381760011149</v>
      </c>
      <c r="I45" s="64">
        <v>66.711826360060869</v>
      </c>
      <c r="J45" s="64">
        <v>62</v>
      </c>
    </row>
    <row r="46" spans="2:10" hidden="1" outlineLevel="1" x14ac:dyDescent="0.3">
      <c r="B46" s="64" t="s">
        <v>496</v>
      </c>
      <c r="C46" s="64" t="s">
        <v>481</v>
      </c>
      <c r="D46" s="64">
        <v>63.407097233104096</v>
      </c>
      <c r="F46" s="64">
        <v>0</v>
      </c>
      <c r="G46" s="64">
        <v>57.181324302853568</v>
      </c>
      <c r="I46" s="64">
        <v>70.749100240927916</v>
      </c>
      <c r="J46" s="64">
        <v>62</v>
      </c>
    </row>
    <row r="47" spans="2:10" ht="15" hidden="1" outlineLevel="1" thickBot="1" x14ac:dyDescent="0.35">
      <c r="B47" s="62" t="s">
        <v>497</v>
      </c>
      <c r="C47" s="62" t="s">
        <v>481</v>
      </c>
      <c r="D47" s="62">
        <v>60.938032993655185</v>
      </c>
      <c r="F47" s="62">
        <v>0</v>
      </c>
      <c r="G47" s="62">
        <v>57.349126441077033</v>
      </c>
      <c r="I47" s="62">
        <v>68.279391732665701</v>
      </c>
      <c r="J47" s="62">
        <v>62</v>
      </c>
    </row>
    <row r="48" spans="2:10" collapsed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ECEE-522C-4381-A526-9A835C99F2E7}">
  <dimension ref="A2:T23"/>
  <sheetViews>
    <sheetView topLeftCell="A3" workbookViewId="0">
      <selection activeCell="B21" sqref="B21"/>
    </sheetView>
  </sheetViews>
  <sheetFormatPr defaultRowHeight="14.4" x14ac:dyDescent="0.3"/>
  <cols>
    <col min="1" max="1" width="2.77734375" bestFit="1" customWidth="1"/>
    <col min="2" max="3" width="19" bestFit="1" customWidth="1"/>
    <col min="4" max="4" width="14.88671875" bestFit="1" customWidth="1"/>
    <col min="5" max="6" width="10.109375" bestFit="1" customWidth="1"/>
    <col min="7" max="7" width="6.88671875" hidden="1" customWidth="1"/>
    <col min="8" max="9" width="17.77734375" hidden="1" customWidth="1"/>
    <col min="10" max="10" width="6.88671875" hidden="1" customWidth="1"/>
    <col min="11" max="11" width="17.77734375" hidden="1" customWidth="1"/>
    <col min="12" max="12" width="6.88671875" hidden="1" customWidth="1"/>
    <col min="13" max="13" width="14.88671875" bestFit="1" customWidth="1"/>
    <col min="14" max="14" width="5.21875" customWidth="1"/>
    <col min="15" max="15" width="12.109375" bestFit="1" customWidth="1"/>
    <col min="16" max="16" width="11.109375" bestFit="1" customWidth="1"/>
    <col min="17" max="17" width="13.77734375" customWidth="1"/>
    <col min="18" max="18" width="7.77734375" bestFit="1" customWidth="1"/>
  </cols>
  <sheetData>
    <row r="2" spans="1:20" s="2" customFormat="1" x14ac:dyDescent="0.3">
      <c r="A2" s="73" t="s">
        <v>1</v>
      </c>
      <c r="B2" s="73" t="s">
        <v>2</v>
      </c>
      <c r="C2" s="73" t="s">
        <v>3</v>
      </c>
      <c r="D2" s="73" t="s">
        <v>4</v>
      </c>
      <c r="E2" s="73" t="s">
        <v>5</v>
      </c>
      <c r="F2" s="73" t="s">
        <v>6</v>
      </c>
      <c r="G2" s="1"/>
      <c r="H2" s="1"/>
      <c r="I2" s="1"/>
      <c r="J2" s="1"/>
      <c r="K2" s="1"/>
      <c r="L2" s="1"/>
      <c r="M2" s="1"/>
      <c r="N2" s="73" t="s">
        <v>7</v>
      </c>
      <c r="O2" s="73" t="s">
        <v>8</v>
      </c>
      <c r="P2" s="73" t="s">
        <v>9</v>
      </c>
      <c r="Q2" s="73" t="s">
        <v>10</v>
      </c>
      <c r="R2" s="1" t="s">
        <v>15</v>
      </c>
    </row>
    <row r="3" spans="1:20" s="2" customFormat="1" x14ac:dyDescent="0.3">
      <c r="A3" s="74"/>
      <c r="B3" s="74"/>
      <c r="C3" s="74"/>
      <c r="D3" s="74"/>
      <c r="E3" s="74"/>
      <c r="F3" s="74"/>
      <c r="G3" s="77" t="s">
        <v>383</v>
      </c>
      <c r="H3" s="77" t="s">
        <v>384</v>
      </c>
      <c r="I3" s="77" t="s">
        <v>385</v>
      </c>
      <c r="J3" s="77" t="s">
        <v>386</v>
      </c>
      <c r="K3" s="77" t="s">
        <v>387</v>
      </c>
      <c r="L3" s="77" t="s">
        <v>388</v>
      </c>
      <c r="M3" s="77" t="s">
        <v>389</v>
      </c>
      <c r="N3" s="74"/>
      <c r="O3" s="74"/>
      <c r="P3" s="74"/>
      <c r="Q3" s="74"/>
    </row>
    <row r="4" spans="1:20" s="2" customFormat="1" x14ac:dyDescent="0.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S4" s="1" t="s">
        <v>16</v>
      </c>
    </row>
    <row r="5" spans="1:20" x14ac:dyDescent="0.3">
      <c r="A5" s="2">
        <v>2</v>
      </c>
      <c r="B5" s="2" t="s">
        <v>402</v>
      </c>
      <c r="C5" s="2" t="s">
        <v>403</v>
      </c>
      <c r="D5" s="2" t="s">
        <v>404</v>
      </c>
      <c r="E5" s="5">
        <v>45870</v>
      </c>
      <c r="F5" s="4">
        <v>45869</v>
      </c>
      <c r="G5" s="2" t="s">
        <v>405</v>
      </c>
      <c r="H5" s="2" t="s">
        <v>406</v>
      </c>
      <c r="I5" s="2" t="s">
        <v>407</v>
      </c>
      <c r="J5" s="2" t="s">
        <v>408</v>
      </c>
      <c r="K5" s="2" t="s">
        <v>409</v>
      </c>
      <c r="L5" s="2" t="s">
        <v>410</v>
      </c>
      <c r="M5" s="6">
        <v>0.31307870370622604</v>
      </c>
      <c r="N5" s="2" t="s">
        <v>30</v>
      </c>
      <c r="O5" s="2" t="s">
        <v>31</v>
      </c>
      <c r="P5" s="2" t="s">
        <v>36</v>
      </c>
      <c r="Q5" s="9">
        <v>799.93602161642809</v>
      </c>
      <c r="R5" s="2">
        <v>800</v>
      </c>
      <c r="S5" s="3">
        <v>63.89</v>
      </c>
      <c r="T5" s="3">
        <v>63.745564053768355</v>
      </c>
    </row>
    <row r="6" spans="1:20" x14ac:dyDescent="0.3">
      <c r="A6" s="2">
        <v>4</v>
      </c>
      <c r="B6" s="2" t="s">
        <v>422</v>
      </c>
      <c r="C6" s="2" t="s">
        <v>423</v>
      </c>
      <c r="D6" s="2" t="s">
        <v>424</v>
      </c>
      <c r="E6" s="4">
        <v>45869</v>
      </c>
      <c r="F6" s="2" t="s">
        <v>29</v>
      </c>
      <c r="G6" s="2" t="s">
        <v>425</v>
      </c>
      <c r="H6" s="2" t="s">
        <v>426</v>
      </c>
      <c r="I6" s="2" t="s">
        <v>427</v>
      </c>
      <c r="J6" s="2" t="s">
        <v>428</v>
      </c>
      <c r="K6" s="2" t="s">
        <v>429</v>
      </c>
      <c r="L6" s="2" t="s">
        <v>430</v>
      </c>
      <c r="M6" s="6">
        <v>0.3315509259279309</v>
      </c>
      <c r="N6" s="2" t="s">
        <v>30</v>
      </c>
      <c r="O6" s="2" t="s">
        <v>31</v>
      </c>
      <c r="P6" s="2" t="s">
        <v>36</v>
      </c>
      <c r="Q6" s="9">
        <v>560.00166264235168</v>
      </c>
      <c r="R6" s="2">
        <v>560</v>
      </c>
      <c r="S6" s="3">
        <v>61.51</v>
      </c>
      <c r="T6" s="3">
        <v>61.416287177949656</v>
      </c>
    </row>
    <row r="7" spans="1:20" x14ac:dyDescent="0.3">
      <c r="A7" s="2">
        <v>6</v>
      </c>
      <c r="B7" s="2" t="s">
        <v>391</v>
      </c>
      <c r="C7" s="2" t="s">
        <v>34</v>
      </c>
      <c r="D7" s="2" t="s">
        <v>35</v>
      </c>
      <c r="E7" s="2" t="s">
        <v>29</v>
      </c>
      <c r="F7" s="2" t="s">
        <v>29</v>
      </c>
      <c r="G7" s="2" t="s">
        <v>180</v>
      </c>
      <c r="H7" s="2" t="s">
        <v>181</v>
      </c>
      <c r="I7" s="2" t="s">
        <v>182</v>
      </c>
      <c r="J7" s="2" t="s">
        <v>183</v>
      </c>
      <c r="K7" s="2" t="s">
        <v>184</v>
      </c>
      <c r="L7" s="2" t="s">
        <v>185</v>
      </c>
      <c r="M7" s="6">
        <v>0.4643634259204501</v>
      </c>
      <c r="N7" s="2" t="s">
        <v>30</v>
      </c>
      <c r="O7" s="2" t="s">
        <v>31</v>
      </c>
      <c r="P7" s="2" t="s">
        <v>36</v>
      </c>
      <c r="Q7" s="9">
        <v>385.01645477236201</v>
      </c>
      <c r="R7" s="2">
        <v>385</v>
      </c>
      <c r="S7" s="3">
        <v>59.12</v>
      </c>
      <c r="T7" s="3">
        <v>59.060481892047193</v>
      </c>
    </row>
    <row r="8" spans="1:20" x14ac:dyDescent="0.3">
      <c r="A8" s="2">
        <v>13</v>
      </c>
      <c r="B8" s="2" t="s">
        <v>61</v>
      </c>
      <c r="C8" s="2" t="s">
        <v>62</v>
      </c>
      <c r="D8" s="2" t="s">
        <v>63</v>
      </c>
      <c r="E8" s="2" t="s">
        <v>58</v>
      </c>
      <c r="F8" s="2" t="s">
        <v>58</v>
      </c>
      <c r="G8" s="2" t="s">
        <v>222</v>
      </c>
      <c r="H8" s="2" t="s">
        <v>223</v>
      </c>
      <c r="I8" s="2" t="s">
        <v>224</v>
      </c>
      <c r="J8" s="2" t="s">
        <v>225</v>
      </c>
      <c r="K8" s="2" t="s">
        <v>226</v>
      </c>
      <c r="L8" s="2" t="s">
        <v>227</v>
      </c>
      <c r="M8" s="6">
        <v>0.91244212962960802</v>
      </c>
      <c r="N8" s="2" t="s">
        <v>30</v>
      </c>
      <c r="O8" s="2" t="s">
        <v>31</v>
      </c>
      <c r="P8" s="2" t="s">
        <v>36</v>
      </c>
      <c r="Q8" s="9">
        <v>799.96602742314997</v>
      </c>
      <c r="R8" s="2">
        <v>800</v>
      </c>
      <c r="S8" s="3">
        <v>62.83</v>
      </c>
      <c r="T8" s="3">
        <v>62.690316967792441</v>
      </c>
    </row>
    <row r="9" spans="1:20" x14ac:dyDescent="0.3">
      <c r="A9" s="2">
        <v>17</v>
      </c>
      <c r="B9" s="2" t="s">
        <v>79</v>
      </c>
      <c r="C9" s="2" t="s">
        <v>80</v>
      </c>
      <c r="D9" s="2" t="s">
        <v>81</v>
      </c>
      <c r="E9" s="2" t="s">
        <v>77</v>
      </c>
      <c r="F9" s="2" t="s">
        <v>77</v>
      </c>
      <c r="G9" s="2" t="s">
        <v>246</v>
      </c>
      <c r="H9" s="2" t="s">
        <v>247</v>
      </c>
      <c r="I9" s="2" t="s">
        <v>248</v>
      </c>
      <c r="J9" s="2" t="s">
        <v>249</v>
      </c>
      <c r="K9" s="2" t="s">
        <v>250</v>
      </c>
      <c r="L9" s="2" t="s">
        <v>251</v>
      </c>
      <c r="M9" s="6">
        <v>1.0483680555529684</v>
      </c>
      <c r="N9" s="2" t="s">
        <v>30</v>
      </c>
      <c r="O9" s="2" t="s">
        <v>59</v>
      </c>
      <c r="P9" s="2" t="s">
        <v>36</v>
      </c>
      <c r="Q9" s="9">
        <v>799.97451963259948</v>
      </c>
      <c r="R9" s="2">
        <v>800</v>
      </c>
      <c r="S9" s="3">
        <v>62.53</v>
      </c>
      <c r="T9" s="3">
        <v>62.391647701330101</v>
      </c>
    </row>
    <row r="10" spans="1:20" x14ac:dyDescent="0.3">
      <c r="A10" s="2">
        <v>19</v>
      </c>
      <c r="B10" s="2" t="s">
        <v>87</v>
      </c>
      <c r="C10" s="2" t="s">
        <v>88</v>
      </c>
      <c r="D10" s="2" t="s">
        <v>89</v>
      </c>
      <c r="E10" s="2" t="s">
        <v>85</v>
      </c>
      <c r="F10" s="2" t="s">
        <v>85</v>
      </c>
      <c r="G10" s="2" t="s">
        <v>258</v>
      </c>
      <c r="H10" s="2" t="s">
        <v>259</v>
      </c>
      <c r="I10" s="2" t="s">
        <v>260</v>
      </c>
      <c r="J10" s="2" t="s">
        <v>261</v>
      </c>
      <c r="K10" s="2" t="s">
        <v>262</v>
      </c>
      <c r="L10" s="2" t="s">
        <v>263</v>
      </c>
      <c r="M10" s="6">
        <v>0.26954861110865347</v>
      </c>
      <c r="N10" s="2" t="s">
        <v>30</v>
      </c>
      <c r="O10" s="2" t="s">
        <v>31</v>
      </c>
      <c r="P10" s="2" t="s">
        <v>36</v>
      </c>
      <c r="Q10" s="9">
        <v>799.96036594720192</v>
      </c>
      <c r="R10" s="2">
        <v>800</v>
      </c>
      <c r="S10" s="3">
        <v>63.03</v>
      </c>
      <c r="T10" s="3">
        <v>62.889426273657712</v>
      </c>
    </row>
    <row r="11" spans="1:20" x14ac:dyDescent="0.3">
      <c r="A11" s="2">
        <v>21</v>
      </c>
      <c r="B11" s="2" t="s">
        <v>95</v>
      </c>
      <c r="C11" s="2" t="s">
        <v>96</v>
      </c>
      <c r="D11" s="2" t="s">
        <v>97</v>
      </c>
      <c r="E11" s="2" t="s">
        <v>93</v>
      </c>
      <c r="F11" s="2" t="s">
        <v>93</v>
      </c>
      <c r="G11" s="2" t="s">
        <v>270</v>
      </c>
      <c r="H11" s="2" t="s">
        <v>271</v>
      </c>
      <c r="I11" s="2" t="s">
        <v>272</v>
      </c>
      <c r="J11" s="2" t="s">
        <v>273</v>
      </c>
      <c r="K11" s="2" t="s">
        <v>274</v>
      </c>
      <c r="L11" s="2" t="s">
        <v>275</v>
      </c>
      <c r="M11" s="6">
        <v>0.48765046296143233</v>
      </c>
      <c r="N11" s="2" t="s">
        <v>30</v>
      </c>
      <c r="O11" s="2" t="s">
        <v>68</v>
      </c>
      <c r="P11" s="2" t="s">
        <v>36</v>
      </c>
      <c r="Q11" s="9">
        <v>720.03782976741786</v>
      </c>
      <c r="R11" s="2">
        <v>720</v>
      </c>
      <c r="S11" s="3">
        <v>59.98</v>
      </c>
      <c r="T11" s="3">
        <v>59.865431564852571</v>
      </c>
    </row>
    <row r="12" spans="1:20" x14ac:dyDescent="0.3">
      <c r="A12" s="2">
        <v>23</v>
      </c>
      <c r="B12" s="2" t="s">
        <v>103</v>
      </c>
      <c r="C12" s="2" t="s">
        <v>104</v>
      </c>
      <c r="D12" s="2" t="s">
        <v>105</v>
      </c>
      <c r="E12" s="2" t="s">
        <v>101</v>
      </c>
      <c r="F12" s="2" t="s">
        <v>101</v>
      </c>
      <c r="G12" s="2" t="s">
        <v>282</v>
      </c>
      <c r="H12" s="2" t="s">
        <v>283</v>
      </c>
      <c r="I12" s="2" t="s">
        <v>284</v>
      </c>
      <c r="J12" s="2" t="s">
        <v>285</v>
      </c>
      <c r="K12" s="2" t="s">
        <v>286</v>
      </c>
      <c r="L12" s="2" t="s">
        <v>287</v>
      </c>
      <c r="M12" s="6">
        <v>0.41274305555815333</v>
      </c>
      <c r="N12" s="2" t="s">
        <v>30</v>
      </c>
      <c r="O12" s="2" t="s">
        <v>31</v>
      </c>
      <c r="P12" s="2" t="s">
        <v>36</v>
      </c>
      <c r="Q12" s="9">
        <v>799.97508578287795</v>
      </c>
      <c r="R12" s="2">
        <v>800</v>
      </c>
      <c r="S12" s="3">
        <v>62.51</v>
      </c>
      <c r="T12" s="3">
        <v>62.371736178510218</v>
      </c>
    </row>
    <row r="13" spans="1:20" x14ac:dyDescent="0.3">
      <c r="A13" s="2">
        <v>25</v>
      </c>
      <c r="B13" s="2" t="s">
        <v>111</v>
      </c>
      <c r="C13" s="2" t="s">
        <v>112</v>
      </c>
      <c r="D13" s="2" t="s">
        <v>113</v>
      </c>
      <c r="E13" s="2" t="s">
        <v>109</v>
      </c>
      <c r="F13" s="2" t="s">
        <v>109</v>
      </c>
      <c r="G13" s="2" t="s">
        <v>294</v>
      </c>
      <c r="H13" s="2" t="s">
        <v>295</v>
      </c>
      <c r="I13" s="2" t="s">
        <v>296</v>
      </c>
      <c r="J13" s="2" t="s">
        <v>297</v>
      </c>
      <c r="K13" s="2" t="s">
        <v>298</v>
      </c>
      <c r="L13" s="2" t="s">
        <v>299</v>
      </c>
      <c r="M13" s="6">
        <v>0.45939814814765229</v>
      </c>
      <c r="N13" s="2" t="s">
        <v>30</v>
      </c>
      <c r="O13" s="2" t="s">
        <v>59</v>
      </c>
      <c r="P13" s="2" t="s">
        <v>36</v>
      </c>
      <c r="Q13" s="9">
        <v>1200.1553990334783</v>
      </c>
      <c r="R13" s="2">
        <v>1200</v>
      </c>
      <c r="S13" s="3">
        <v>59.19</v>
      </c>
      <c r="T13" s="3">
        <v>59.004049448277925</v>
      </c>
    </row>
    <row r="14" spans="1:20" x14ac:dyDescent="0.3">
      <c r="A14" s="2">
        <v>27</v>
      </c>
      <c r="B14" s="2" t="s">
        <v>119</v>
      </c>
      <c r="C14" s="2" t="s">
        <v>120</v>
      </c>
      <c r="D14" s="2" t="s">
        <v>121</v>
      </c>
      <c r="E14" s="2" t="s">
        <v>117</v>
      </c>
      <c r="F14" s="2" t="s">
        <v>117</v>
      </c>
      <c r="G14" s="2" t="s">
        <v>306</v>
      </c>
      <c r="H14" s="2" t="s">
        <v>307</v>
      </c>
      <c r="I14" s="2" t="s">
        <v>308</v>
      </c>
      <c r="J14" s="2" t="s">
        <v>309</v>
      </c>
      <c r="K14" s="2" t="s">
        <v>310</v>
      </c>
      <c r="L14" s="2" t="s">
        <v>311</v>
      </c>
      <c r="M14" s="6">
        <v>0.27517361111147765</v>
      </c>
      <c r="N14" s="2" t="s">
        <v>30</v>
      </c>
      <c r="O14" s="2" t="s">
        <v>31</v>
      </c>
      <c r="P14" s="2" t="s">
        <v>36</v>
      </c>
      <c r="Q14" s="9">
        <v>799.98527643123566</v>
      </c>
      <c r="R14" s="2">
        <v>800</v>
      </c>
      <c r="S14" s="3">
        <v>62.15</v>
      </c>
      <c r="T14" s="3">
        <v>62.013324150842827</v>
      </c>
    </row>
    <row r="15" spans="1:20" x14ac:dyDescent="0.3">
      <c r="A15" s="2">
        <v>29</v>
      </c>
      <c r="B15" s="2" t="s">
        <v>127</v>
      </c>
      <c r="C15" s="2" t="s">
        <v>128</v>
      </c>
      <c r="D15" s="2" t="s">
        <v>129</v>
      </c>
      <c r="E15" s="2" t="s">
        <v>125</v>
      </c>
      <c r="F15" s="2" t="s">
        <v>125</v>
      </c>
      <c r="G15" s="2" t="s">
        <v>318</v>
      </c>
      <c r="H15" s="2" t="s">
        <v>319</v>
      </c>
      <c r="I15" s="2" t="s">
        <v>320</v>
      </c>
      <c r="J15" s="2" t="s">
        <v>321</v>
      </c>
      <c r="K15" s="2" t="s">
        <v>322</v>
      </c>
      <c r="L15" s="2" t="s">
        <v>323</v>
      </c>
      <c r="M15" s="6">
        <v>0.44326388888518087</v>
      </c>
      <c r="N15" s="2" t="s">
        <v>30</v>
      </c>
      <c r="O15" s="2" t="s">
        <v>31</v>
      </c>
      <c r="P15" s="2" t="s">
        <v>36</v>
      </c>
      <c r="Q15" s="9">
        <v>640.0014469463822</v>
      </c>
      <c r="R15" s="2">
        <v>640</v>
      </c>
      <c r="S15" s="3">
        <v>61.55</v>
      </c>
      <c r="T15" s="3">
        <v>61.442760285361956</v>
      </c>
    </row>
    <row r="16" spans="1:20" x14ac:dyDescent="0.3">
      <c r="A16" s="2">
        <v>31</v>
      </c>
      <c r="B16" s="2" t="s">
        <v>135</v>
      </c>
      <c r="C16" s="2" t="s">
        <v>136</v>
      </c>
      <c r="D16" s="2" t="s">
        <v>137</v>
      </c>
      <c r="E16" s="2" t="s">
        <v>133</v>
      </c>
      <c r="F16" s="2" t="s">
        <v>133</v>
      </c>
      <c r="G16" s="2" t="s">
        <v>330</v>
      </c>
      <c r="H16" s="2" t="s">
        <v>331</v>
      </c>
      <c r="I16" s="2" t="s">
        <v>332</v>
      </c>
      <c r="J16" s="2" t="s">
        <v>333</v>
      </c>
      <c r="K16" s="2" t="s">
        <v>334</v>
      </c>
      <c r="L16" s="2" t="s">
        <v>335</v>
      </c>
      <c r="M16" s="6">
        <v>0.46251157407698446</v>
      </c>
      <c r="N16" s="2" t="s">
        <v>30</v>
      </c>
      <c r="O16" s="2" t="s">
        <v>31</v>
      </c>
      <c r="P16" s="2" t="s">
        <v>36</v>
      </c>
      <c r="Q16" s="9">
        <v>559.99264674678318</v>
      </c>
      <c r="R16" s="2">
        <v>560</v>
      </c>
      <c r="S16" s="3">
        <v>62.16</v>
      </c>
      <c r="T16" s="3">
        <v>62.064296110471219</v>
      </c>
    </row>
    <row r="17" spans="1:20" x14ac:dyDescent="0.3">
      <c r="A17" s="2">
        <v>33</v>
      </c>
      <c r="B17" s="2" t="s">
        <v>143</v>
      </c>
      <c r="C17" s="2" t="s">
        <v>144</v>
      </c>
      <c r="D17" s="2" t="s">
        <v>145</v>
      </c>
      <c r="E17" s="2" t="s">
        <v>141</v>
      </c>
      <c r="F17" s="2" t="s">
        <v>141</v>
      </c>
      <c r="G17" s="2" t="s">
        <v>342</v>
      </c>
      <c r="H17" s="2" t="s">
        <v>343</v>
      </c>
      <c r="I17" s="2" t="s">
        <v>344</v>
      </c>
      <c r="J17" s="2" t="s">
        <v>345</v>
      </c>
      <c r="K17" s="2" t="s">
        <v>346</v>
      </c>
      <c r="L17" s="2" t="s">
        <v>347</v>
      </c>
      <c r="M17" s="6">
        <v>0.34975694444235328</v>
      </c>
      <c r="N17" s="2" t="s">
        <v>30</v>
      </c>
      <c r="O17" s="2" t="s">
        <v>31</v>
      </c>
      <c r="P17" s="2" t="s">
        <v>36</v>
      </c>
      <c r="Q17" s="9">
        <v>639.98169972590244</v>
      </c>
      <c r="R17" s="2">
        <v>640</v>
      </c>
      <c r="S17" s="3">
        <v>62.64</v>
      </c>
      <c r="T17" s="3">
        <v>62.528928401497822</v>
      </c>
    </row>
    <row r="18" spans="1:20" x14ac:dyDescent="0.3">
      <c r="A18" s="2">
        <v>35</v>
      </c>
      <c r="B18" s="2" t="s">
        <v>151</v>
      </c>
      <c r="C18" s="2" t="s">
        <v>152</v>
      </c>
      <c r="D18" s="2" t="s">
        <v>153</v>
      </c>
      <c r="E18" s="2" t="s">
        <v>149</v>
      </c>
      <c r="F18" s="2" t="s">
        <v>149</v>
      </c>
      <c r="G18" s="2" t="s">
        <v>354</v>
      </c>
      <c r="H18" s="2" t="s">
        <v>355</v>
      </c>
      <c r="I18" s="2" t="s">
        <v>356</v>
      </c>
      <c r="J18" s="2" t="s">
        <v>357</v>
      </c>
      <c r="K18" s="2" t="s">
        <v>358</v>
      </c>
      <c r="L18" s="2" t="s">
        <v>359</v>
      </c>
      <c r="M18" s="6">
        <v>0.50381944444075799</v>
      </c>
      <c r="N18" s="2" t="s">
        <v>30</v>
      </c>
      <c r="O18" s="2" t="s">
        <v>31</v>
      </c>
      <c r="P18" s="2" t="s">
        <v>154</v>
      </c>
      <c r="Q18" s="9">
        <v>640.07246446860972</v>
      </c>
      <c r="R18" s="2">
        <v>640</v>
      </c>
      <c r="S18" s="3">
        <v>57.63</v>
      </c>
      <c r="T18" s="3">
        <v>57.535985082795769</v>
      </c>
    </row>
    <row r="19" spans="1:20" x14ac:dyDescent="0.3">
      <c r="A19" s="2">
        <v>37</v>
      </c>
      <c r="B19" s="2" t="s">
        <v>162</v>
      </c>
      <c r="C19" s="2" t="s">
        <v>163</v>
      </c>
      <c r="D19" s="2" t="s">
        <v>164</v>
      </c>
      <c r="E19" s="2" t="s">
        <v>159</v>
      </c>
      <c r="F19" s="2" t="s">
        <v>159</v>
      </c>
      <c r="G19" s="2" t="s">
        <v>366</v>
      </c>
      <c r="H19" s="2" t="s">
        <v>367</v>
      </c>
      <c r="I19" s="2" t="s">
        <v>368</v>
      </c>
      <c r="J19" s="2" t="s">
        <v>369</v>
      </c>
      <c r="K19" s="2" t="s">
        <v>370</v>
      </c>
      <c r="L19" s="2" t="s">
        <v>371</v>
      </c>
      <c r="M19" s="6">
        <v>0.3748495370383198</v>
      </c>
      <c r="N19" s="2" t="s">
        <v>30</v>
      </c>
      <c r="O19" s="2" t="s">
        <v>68</v>
      </c>
      <c r="P19" s="2" t="s">
        <v>36</v>
      </c>
      <c r="Q19" s="9">
        <v>799.945646120471</v>
      </c>
      <c r="R19" s="2">
        <v>800</v>
      </c>
      <c r="S19" s="3">
        <v>63.55</v>
      </c>
      <c r="T19" s="3">
        <v>63.407097233104096</v>
      </c>
    </row>
    <row r="20" spans="1:20" ht="15" thickBot="1" x14ac:dyDescent="0.35">
      <c r="A20" s="2">
        <v>38</v>
      </c>
      <c r="B20" s="2" t="s">
        <v>165</v>
      </c>
      <c r="C20" s="2" t="s">
        <v>166</v>
      </c>
      <c r="D20" s="2" t="s">
        <v>167</v>
      </c>
      <c r="E20" s="2" t="s">
        <v>168</v>
      </c>
      <c r="F20" s="2" t="s">
        <v>168</v>
      </c>
      <c r="G20" s="2" t="s">
        <v>372</v>
      </c>
      <c r="H20" s="2" t="s">
        <v>373</v>
      </c>
      <c r="I20" s="2" t="s">
        <v>374</v>
      </c>
      <c r="J20" s="2" t="s">
        <v>375</v>
      </c>
      <c r="K20" s="2" t="s">
        <v>376</v>
      </c>
      <c r="L20" s="2" t="s">
        <v>377</v>
      </c>
      <c r="M20" s="6">
        <v>0.25715277778148582</v>
      </c>
      <c r="N20" s="2" t="s">
        <v>30</v>
      </c>
      <c r="O20" s="2" t="s">
        <v>169</v>
      </c>
      <c r="P20" s="2" t="s">
        <v>36</v>
      </c>
      <c r="Q20" s="9">
        <v>800.0158483882359</v>
      </c>
      <c r="R20" s="2">
        <v>800</v>
      </c>
      <c r="S20" s="3">
        <v>61.07</v>
      </c>
      <c r="T20" s="3">
        <v>60.938032993655185</v>
      </c>
    </row>
    <row r="21" spans="1:20" ht="15" thickBot="1" x14ac:dyDescent="0.35">
      <c r="Q21" s="10">
        <f>SUM(Q5:Q20)</f>
        <v>11745.018395445486</v>
      </c>
      <c r="R21" s="12">
        <f>SUMPRODUCT($Q$5:$Q$20,T5:T20)/$Q$21</f>
        <v>61.499940899012174</v>
      </c>
    </row>
    <row r="23" spans="1:20" x14ac:dyDescent="0.3">
      <c r="R23" s="3">
        <v>61.5</v>
      </c>
    </row>
  </sheetData>
  <mergeCells count="17">
    <mergeCell ref="J3:J4"/>
    <mergeCell ref="K3:K4"/>
    <mergeCell ref="Q2:Q4"/>
    <mergeCell ref="A2:A4"/>
    <mergeCell ref="B2:B4"/>
    <mergeCell ref="C2:C4"/>
    <mergeCell ref="D2:D4"/>
    <mergeCell ref="E2:E4"/>
    <mergeCell ref="F2:F4"/>
    <mergeCell ref="L3:L4"/>
    <mergeCell ref="M3:M4"/>
    <mergeCell ref="N2:N4"/>
    <mergeCell ref="O2:O4"/>
    <mergeCell ref="P2:P4"/>
    <mergeCell ref="G3:G4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 Sample Analysis</vt:lpstr>
      <vt:lpstr>Fines 60-62</vt:lpstr>
      <vt:lpstr>Fines 60-62 (Blend)</vt:lpstr>
      <vt:lpstr>Fines 62-65</vt:lpstr>
      <vt:lpstr>Fines 62-65 (Blend)</vt:lpstr>
      <vt:lpstr>CLO</vt:lpstr>
      <vt:lpstr>CLO (Blend)</vt:lpstr>
      <vt:lpstr>Answer Report 1</vt:lpstr>
      <vt:lpstr>Sensitivity Report 1</vt:lpstr>
      <vt:lpstr>Limits Report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Omkar Narayan</cp:lastModifiedBy>
  <dcterms:created xsi:type="dcterms:W3CDTF">2025-07-31T04:33:31Z</dcterms:created>
  <dcterms:modified xsi:type="dcterms:W3CDTF">2025-10-31T14:52:27Z</dcterms:modified>
</cp:coreProperties>
</file>