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TS_WILP\4th SEM\Project\Base Data\"/>
    </mc:Choice>
  </mc:AlternateContent>
  <xr:revisionPtr revIDLastSave="0" documentId="13_ncr:1_{298D14C0-9836-49F6-A07D-0F06C83624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on Sample" sheetId="1" r:id="rId1"/>
    <sheet name="Product(June)_Fines" sheetId="2" state="hidden" r:id="rId2"/>
    <sheet name="Product(June)_CLO" sheetId="3" state="hidden" r:id="rId3"/>
    <sheet name="Fines Blending(June'25)" sheetId="4" state="hidden" r:id="rId4"/>
    <sheet name="CLO Blending(June'25)" sheetId="5" state="hidden" r:id="rId5"/>
    <sheet name="Sheet1" sheetId="6" state="hidden" r:id="rId6"/>
  </sheets>
  <definedNames>
    <definedName name="_xlnm._FilterDatabase" localSheetId="1" hidden="1">'Product(June)_Fines'!$A$2:$Q$34</definedName>
    <definedName name="_xlnm._FilterDatabase" localSheetId="0" hidden="1">'Production Sample'!$A$6:$AB$57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0" i="1" l="1"/>
  <c r="I6" i="5"/>
  <c r="C6" i="5"/>
  <c r="E6" i="5" s="1"/>
  <c r="C8" i="4"/>
  <c r="H8" i="4" s="1"/>
  <c r="G34" i="2"/>
  <c r="H34" i="2"/>
  <c r="I34" i="2"/>
  <c r="J34" i="2"/>
  <c r="K34" i="2"/>
  <c r="L34" i="2"/>
  <c r="M34" i="2"/>
  <c r="D34" i="2"/>
  <c r="E34" i="2"/>
  <c r="F34" i="2"/>
  <c r="U6" i="3"/>
  <c r="V6" i="3"/>
  <c r="W6" i="3"/>
  <c r="X6" i="3"/>
  <c r="T6" i="3"/>
  <c r="S6" i="3"/>
  <c r="R6" i="3"/>
  <c r="Q6" i="3"/>
  <c r="P6" i="3"/>
  <c r="O6" i="3"/>
  <c r="C34" i="2"/>
  <c r="N6" i="3"/>
  <c r="D6" i="5" l="1"/>
  <c r="M6" i="5"/>
  <c r="L6" i="5"/>
  <c r="K6" i="5"/>
  <c r="J6" i="5"/>
  <c r="H6" i="5"/>
  <c r="G6" i="5"/>
  <c r="F6" i="5"/>
  <c r="G8" i="4"/>
  <c r="F8" i="4"/>
  <c r="D8" i="4"/>
  <c r="K8" i="4"/>
  <c r="J8" i="4"/>
  <c r="L8" i="4"/>
  <c r="I8" i="4"/>
  <c r="E8" i="4"/>
  <c r="M8" i="4"/>
  <c r="AA8" i="1"/>
  <c r="AB8" i="1"/>
  <c r="AA9" i="1"/>
  <c r="AB9" i="1"/>
  <c r="AA10" i="1"/>
  <c r="AB10" i="1"/>
  <c r="AA11" i="1"/>
  <c r="AB11" i="1"/>
  <c r="AA12" i="1"/>
  <c r="AB12" i="1"/>
  <c r="AA13" i="1"/>
  <c r="AB13" i="1"/>
  <c r="AA14" i="1"/>
  <c r="AB14" i="1"/>
  <c r="AA15" i="1"/>
  <c r="AB15" i="1"/>
  <c r="AA16" i="1"/>
  <c r="AB16" i="1"/>
  <c r="AA17" i="1"/>
  <c r="AB17" i="1"/>
  <c r="AA18" i="1"/>
  <c r="AB18" i="1"/>
  <c r="AA19" i="1"/>
  <c r="AB19" i="1"/>
  <c r="AA20" i="1"/>
  <c r="AB20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7" i="1"/>
  <c r="AB27" i="1"/>
  <c r="AA28" i="1"/>
  <c r="AB28" i="1"/>
  <c r="AA29" i="1"/>
  <c r="AB29" i="1"/>
  <c r="AA30" i="1"/>
  <c r="AB30" i="1"/>
  <c r="AA31" i="1"/>
  <c r="AB31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8" i="1"/>
  <c r="AB38" i="1"/>
  <c r="AA39" i="1"/>
  <c r="AB39" i="1"/>
  <c r="AA40" i="1"/>
  <c r="AB40" i="1"/>
  <c r="AA41" i="1"/>
  <c r="AB41" i="1"/>
  <c r="AA42" i="1"/>
  <c r="AB42" i="1"/>
  <c r="AA43" i="1"/>
  <c r="AB43" i="1"/>
  <c r="AA44" i="1"/>
  <c r="AB44" i="1"/>
  <c r="AA45" i="1"/>
  <c r="AB45" i="1"/>
  <c r="AA46" i="1"/>
  <c r="AB46" i="1"/>
  <c r="AA47" i="1"/>
  <c r="AB47" i="1"/>
  <c r="AA48" i="1"/>
  <c r="AB48" i="1"/>
  <c r="AA49" i="1"/>
  <c r="AB49" i="1"/>
  <c r="AA50" i="1"/>
  <c r="AB50" i="1"/>
  <c r="AA51" i="1"/>
  <c r="AB51" i="1"/>
  <c r="AA52" i="1"/>
  <c r="AB52" i="1"/>
  <c r="AA53" i="1"/>
  <c r="AB53" i="1"/>
  <c r="AA54" i="1"/>
  <c r="AB54" i="1"/>
  <c r="AA55" i="1"/>
  <c r="AB55" i="1"/>
  <c r="AA56" i="1"/>
  <c r="AB56" i="1"/>
  <c r="AA57" i="1"/>
  <c r="AB57" i="1"/>
  <c r="AB7" i="1"/>
  <c r="AA7" i="1"/>
  <c r="AA60" i="1" l="1"/>
  <c r="AA61" i="1"/>
  <c r="AB60" i="1"/>
  <c r="AB61" i="1"/>
  <c r="F61" i="1"/>
  <c r="F60" i="1"/>
  <c r="G60" i="1" s="1"/>
  <c r="R7" i="1"/>
  <c r="S7" i="1"/>
  <c r="T7" i="1"/>
  <c r="U7" i="1"/>
  <c r="V7" i="1"/>
  <c r="W7" i="1"/>
  <c r="X7" i="1"/>
  <c r="Y7" i="1"/>
  <c r="R8" i="1"/>
  <c r="S8" i="1"/>
  <c r="T8" i="1"/>
  <c r="U8" i="1"/>
  <c r="V8" i="1"/>
  <c r="W8" i="1"/>
  <c r="X8" i="1"/>
  <c r="Y8" i="1"/>
  <c r="R9" i="1"/>
  <c r="S9" i="1"/>
  <c r="T9" i="1"/>
  <c r="U9" i="1"/>
  <c r="V9" i="1"/>
  <c r="W9" i="1"/>
  <c r="X9" i="1"/>
  <c r="Y9" i="1"/>
  <c r="R10" i="1"/>
  <c r="S10" i="1"/>
  <c r="T10" i="1"/>
  <c r="U10" i="1"/>
  <c r="V10" i="1"/>
  <c r="W10" i="1"/>
  <c r="X10" i="1"/>
  <c r="Y10" i="1"/>
  <c r="R11" i="1"/>
  <c r="S11" i="1"/>
  <c r="T11" i="1"/>
  <c r="U11" i="1"/>
  <c r="V11" i="1"/>
  <c r="W11" i="1"/>
  <c r="X11" i="1"/>
  <c r="Y11" i="1"/>
  <c r="R12" i="1"/>
  <c r="S12" i="1"/>
  <c r="T12" i="1"/>
  <c r="U12" i="1"/>
  <c r="V12" i="1"/>
  <c r="W12" i="1"/>
  <c r="X12" i="1"/>
  <c r="Y12" i="1"/>
  <c r="R13" i="1"/>
  <c r="S13" i="1"/>
  <c r="T13" i="1"/>
  <c r="U13" i="1"/>
  <c r="V13" i="1"/>
  <c r="W13" i="1"/>
  <c r="X13" i="1"/>
  <c r="Y13" i="1"/>
  <c r="R14" i="1"/>
  <c r="S14" i="1"/>
  <c r="T14" i="1"/>
  <c r="U14" i="1"/>
  <c r="V14" i="1"/>
  <c r="W14" i="1"/>
  <c r="X14" i="1"/>
  <c r="Y14" i="1"/>
  <c r="R15" i="1"/>
  <c r="S15" i="1"/>
  <c r="T15" i="1"/>
  <c r="U15" i="1"/>
  <c r="V15" i="1"/>
  <c r="W15" i="1"/>
  <c r="X15" i="1"/>
  <c r="Y15" i="1"/>
  <c r="R16" i="1"/>
  <c r="S16" i="1"/>
  <c r="T16" i="1"/>
  <c r="U16" i="1"/>
  <c r="V16" i="1"/>
  <c r="W16" i="1"/>
  <c r="X16" i="1"/>
  <c r="Y16" i="1"/>
  <c r="R17" i="1"/>
  <c r="S17" i="1"/>
  <c r="T17" i="1"/>
  <c r="U17" i="1"/>
  <c r="V17" i="1"/>
  <c r="W17" i="1"/>
  <c r="X17" i="1"/>
  <c r="Y17" i="1"/>
  <c r="R18" i="1"/>
  <c r="S18" i="1"/>
  <c r="T18" i="1"/>
  <c r="U18" i="1"/>
  <c r="V18" i="1"/>
  <c r="W18" i="1"/>
  <c r="X18" i="1"/>
  <c r="Y18" i="1"/>
  <c r="R19" i="1"/>
  <c r="S19" i="1"/>
  <c r="T19" i="1"/>
  <c r="U19" i="1"/>
  <c r="V19" i="1"/>
  <c r="W19" i="1"/>
  <c r="X19" i="1"/>
  <c r="Y19" i="1"/>
  <c r="R20" i="1"/>
  <c r="S20" i="1"/>
  <c r="T20" i="1"/>
  <c r="U20" i="1"/>
  <c r="V20" i="1"/>
  <c r="W20" i="1"/>
  <c r="X20" i="1"/>
  <c r="Y20" i="1"/>
  <c r="R21" i="1"/>
  <c r="S21" i="1"/>
  <c r="T21" i="1"/>
  <c r="U21" i="1"/>
  <c r="V21" i="1"/>
  <c r="W21" i="1"/>
  <c r="X21" i="1"/>
  <c r="Y21" i="1"/>
  <c r="R22" i="1"/>
  <c r="S22" i="1"/>
  <c r="T22" i="1"/>
  <c r="U22" i="1"/>
  <c r="V22" i="1"/>
  <c r="W22" i="1"/>
  <c r="X22" i="1"/>
  <c r="Y22" i="1"/>
  <c r="R23" i="1"/>
  <c r="S23" i="1"/>
  <c r="T23" i="1"/>
  <c r="U23" i="1"/>
  <c r="V23" i="1"/>
  <c r="W23" i="1"/>
  <c r="X23" i="1"/>
  <c r="Y23" i="1"/>
  <c r="R24" i="1"/>
  <c r="S24" i="1"/>
  <c r="T24" i="1"/>
  <c r="U24" i="1"/>
  <c r="V24" i="1"/>
  <c r="W24" i="1"/>
  <c r="X24" i="1"/>
  <c r="Y24" i="1"/>
  <c r="R25" i="1"/>
  <c r="S25" i="1"/>
  <c r="T25" i="1"/>
  <c r="U25" i="1"/>
  <c r="V25" i="1"/>
  <c r="W25" i="1"/>
  <c r="X25" i="1"/>
  <c r="Y25" i="1"/>
  <c r="R26" i="1"/>
  <c r="S26" i="1"/>
  <c r="T26" i="1"/>
  <c r="U26" i="1"/>
  <c r="V26" i="1"/>
  <c r="W26" i="1"/>
  <c r="X26" i="1"/>
  <c r="Y26" i="1"/>
  <c r="R27" i="1"/>
  <c r="S27" i="1"/>
  <c r="T27" i="1"/>
  <c r="U27" i="1"/>
  <c r="V27" i="1"/>
  <c r="W27" i="1"/>
  <c r="X27" i="1"/>
  <c r="Y27" i="1"/>
  <c r="R28" i="1"/>
  <c r="S28" i="1"/>
  <c r="T28" i="1"/>
  <c r="U28" i="1"/>
  <c r="V28" i="1"/>
  <c r="W28" i="1"/>
  <c r="X28" i="1"/>
  <c r="Y28" i="1"/>
  <c r="R29" i="1"/>
  <c r="R30" i="1"/>
  <c r="R31" i="1"/>
  <c r="R32" i="1"/>
  <c r="S29" i="1"/>
  <c r="T29" i="1"/>
  <c r="U29" i="1"/>
  <c r="V29" i="1"/>
  <c r="W29" i="1"/>
  <c r="X29" i="1"/>
  <c r="Y29" i="1"/>
  <c r="S30" i="1"/>
  <c r="T30" i="1"/>
  <c r="U30" i="1"/>
  <c r="V30" i="1"/>
  <c r="W30" i="1"/>
  <c r="X30" i="1"/>
  <c r="Y30" i="1"/>
  <c r="S31" i="1"/>
  <c r="T31" i="1"/>
  <c r="U31" i="1"/>
  <c r="V31" i="1"/>
  <c r="W31" i="1"/>
  <c r="X31" i="1"/>
  <c r="Y31" i="1"/>
  <c r="R33" i="1"/>
  <c r="R34" i="1"/>
  <c r="S32" i="1"/>
  <c r="T32" i="1"/>
  <c r="U32" i="1"/>
  <c r="V32" i="1"/>
  <c r="W32" i="1"/>
  <c r="X32" i="1"/>
  <c r="Y32" i="1"/>
  <c r="S33" i="1"/>
  <c r="T33" i="1"/>
  <c r="U33" i="1"/>
  <c r="V33" i="1"/>
  <c r="W33" i="1"/>
  <c r="X33" i="1"/>
  <c r="Y33" i="1"/>
  <c r="S34" i="1"/>
  <c r="T34" i="1"/>
  <c r="U34" i="1"/>
  <c r="V34" i="1"/>
  <c r="W34" i="1"/>
  <c r="X34" i="1"/>
  <c r="Y34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35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36" i="1"/>
  <c r="S35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H61" i="1" l="1"/>
  <c r="H60" i="1"/>
  <c r="S61" i="1"/>
  <c r="J61" i="1" s="1"/>
  <c r="U61" i="1"/>
  <c r="L61" i="1" s="1"/>
  <c r="T61" i="1"/>
  <c r="K61" i="1" s="1"/>
  <c r="S60" i="1"/>
  <c r="J60" i="1" s="1"/>
  <c r="R60" i="1"/>
  <c r="I60" i="1" s="1"/>
  <c r="U60" i="1"/>
  <c r="L60" i="1" s="1"/>
  <c r="Y61" i="1"/>
  <c r="X61" i="1"/>
  <c r="O61" i="1" s="1"/>
  <c r="W61" i="1"/>
  <c r="N61" i="1" s="1"/>
  <c r="V61" i="1"/>
  <c r="M61" i="1" s="1"/>
  <c r="Y60" i="1"/>
  <c r="P60" i="1" s="1"/>
  <c r="R61" i="1"/>
  <c r="I61" i="1" s="1"/>
  <c r="T60" i="1"/>
  <c r="K60" i="1" s="1"/>
  <c r="X60" i="1"/>
  <c r="O60" i="1" s="1"/>
  <c r="W60" i="1"/>
  <c r="N60" i="1" s="1"/>
  <c r="V60" i="1"/>
  <c r="M60" i="1" s="1"/>
  <c r="F62" i="1"/>
  <c r="P61" i="1" l="1"/>
  <c r="G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tc={E8332A59-0ED9-42B2-B693-BC12D9B98337}</author>
  </authors>
  <commentList>
    <comment ref="F18" authorId="0" shapeId="0" xr:uid="{E8332A59-0ED9-42B2-B693-BC12D9B98337}">
      <text>
        <t>[Threaded comment]
Your version of Excel allows you to read this threaded comment; however, any edits to it will get removed if the file is opened in a newer version of Excel. Learn more: https://go.microsoft.com/fwlink/?linkid=870924
Comment:
    65% CLO Produced
16.06.25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tc={6E8449EC-6274-4123-B2C1-D383132E99ED}</author>
  </authors>
  <commentList>
    <comment ref="C38" authorId="0" shapeId="0" xr:uid="{6E8449EC-6274-4123-B2C1-D383132E99ED}">
      <text>
        <t>[Threaded comment]
Your version of Excel allows you to read this threaded comment; however, any edits to it will get removed if the file is opened in a newer version of Excel. Learn more: https://go.microsoft.com/fwlink/?linkid=870924
Comment:
    65% CLO Produced
16.06.25</t>
      </text>
    </comment>
  </commentList>
</comments>
</file>

<file path=xl/sharedStrings.xml><?xml version="1.0" encoding="utf-8"?>
<sst xmlns="http://schemas.openxmlformats.org/spreadsheetml/2006/main" count="368" uniqueCount="97">
  <si>
    <t xml:space="preserve">Lab: </t>
  </si>
  <si>
    <t>Sr. no.</t>
  </si>
  <si>
    <t>Lab Sample ID</t>
  </si>
  <si>
    <t>Shift</t>
  </si>
  <si>
    <t xml:space="preserve"> Result </t>
  </si>
  <si>
    <t>Fe</t>
  </si>
  <si>
    <t>SiO2</t>
  </si>
  <si>
    <t>Al2O3</t>
  </si>
  <si>
    <t>Na2O</t>
  </si>
  <si>
    <t>K2O</t>
  </si>
  <si>
    <t>P</t>
  </si>
  <si>
    <t>MnO</t>
  </si>
  <si>
    <t>LOI</t>
  </si>
  <si>
    <t>100620250121083086</t>
  </si>
  <si>
    <t>G</t>
  </si>
  <si>
    <t>100620250121083085</t>
  </si>
  <si>
    <t>090620250121083103</t>
  </si>
  <si>
    <t>090620250121083102</t>
  </si>
  <si>
    <t>090620250121083101</t>
  </si>
  <si>
    <t>080620250121083053</t>
  </si>
  <si>
    <t>080620250121083052</t>
  </si>
  <si>
    <t>080620250121083051</t>
  </si>
  <si>
    <t>070620250121083144</t>
  </si>
  <si>
    <t>070620250121083143</t>
  </si>
  <si>
    <t>070620250121083142</t>
  </si>
  <si>
    <t>060620250121083189</t>
  </si>
  <si>
    <t>060620250121083188</t>
  </si>
  <si>
    <t>060620250121083187</t>
  </si>
  <si>
    <t>050620250121083137</t>
  </si>
  <si>
    <t>050620250121083136</t>
  </si>
  <si>
    <t>050620250121083135</t>
  </si>
  <si>
    <t>040620250121083119</t>
  </si>
  <si>
    <t>040620250121083118</t>
  </si>
  <si>
    <t>040620250121083117</t>
  </si>
  <si>
    <t>030620250121083290</t>
  </si>
  <si>
    <t>030620250121083289</t>
  </si>
  <si>
    <t>030620250121083288</t>
  </si>
  <si>
    <t>Product Type</t>
  </si>
  <si>
    <t>Lot Size</t>
  </si>
  <si>
    <t>CLO</t>
  </si>
  <si>
    <t>Fines</t>
  </si>
  <si>
    <t>110620250121083082</t>
  </si>
  <si>
    <t>110620250121083083</t>
  </si>
  <si>
    <t>110620250121083084</t>
  </si>
  <si>
    <t>Ore Type</t>
  </si>
  <si>
    <t>Tons</t>
  </si>
  <si>
    <t>FINES</t>
  </si>
  <si>
    <t>Plant Name</t>
  </si>
  <si>
    <t xml:space="preserve">Horizon plant </t>
  </si>
  <si>
    <t xml:space="preserve">Horizon Fixed </t>
  </si>
  <si>
    <t>120620250121083129</t>
  </si>
  <si>
    <t>120620250121083128</t>
  </si>
  <si>
    <t>120620250121083127</t>
  </si>
  <si>
    <t xml:space="preserve">                                                                                                                                           PRODUCTION Sample Analysis Report JUNE'25     	                        </t>
  </si>
  <si>
    <t xml:space="preserve">Horrizon </t>
  </si>
  <si>
    <t xml:space="preserve">Fixed Crusher plant </t>
  </si>
  <si>
    <t xml:space="preserve">Horrizon plant </t>
  </si>
  <si>
    <t>Horrizon plant</t>
  </si>
  <si>
    <t>Horizon 2</t>
  </si>
  <si>
    <t xml:space="preserve">Harrizon fixed </t>
  </si>
  <si>
    <t xml:space="preserve">Extec plant </t>
  </si>
  <si>
    <t xml:space="preserve">Extec </t>
  </si>
  <si>
    <t>A</t>
  </si>
  <si>
    <t>250620250121083054</t>
  </si>
  <si>
    <t>250620250121083053</t>
  </si>
  <si>
    <t>240620250121083222</t>
  </si>
  <si>
    <t>240620250121083221</t>
  </si>
  <si>
    <t>230620250121083045</t>
  </si>
  <si>
    <t>230620250121083044</t>
  </si>
  <si>
    <t>220620250121083082</t>
  </si>
  <si>
    <t>220620250121083081</t>
  </si>
  <si>
    <t>220620250121083080</t>
  </si>
  <si>
    <t>180620250121083068</t>
  </si>
  <si>
    <t>180620250121083067</t>
  </si>
  <si>
    <t>170620250121083063</t>
  </si>
  <si>
    <t>170620250121083062</t>
  </si>
  <si>
    <t>170620250121083061</t>
  </si>
  <si>
    <t>150620250121083079</t>
  </si>
  <si>
    <t>150620250121083078</t>
  </si>
  <si>
    <t>150620250121083077</t>
  </si>
  <si>
    <t>140620250121083098</t>
  </si>
  <si>
    <t>140620250121083097</t>
  </si>
  <si>
    <t>130620250121083101</t>
  </si>
  <si>
    <t>130620250121083100</t>
  </si>
  <si>
    <t>130620250121083099</t>
  </si>
  <si>
    <t xml:space="preserve">Harrizon plant </t>
  </si>
  <si>
    <t>Size Analysis</t>
  </si>
  <si>
    <t/>
  </si>
  <si>
    <t xml:space="preserve"> 'O' Size </t>
  </si>
  <si>
    <t xml:space="preserve"> 'U' Size </t>
  </si>
  <si>
    <t>030620250121083289 to 220620250121083081</t>
  </si>
  <si>
    <t>030620250121083288 to 240620250121083222</t>
  </si>
  <si>
    <t>Total</t>
  </si>
  <si>
    <t>TOTAL</t>
  </si>
  <si>
    <t>CLO Blending Certificate_BIOM(JUNE;25)</t>
  </si>
  <si>
    <t>Fines Blending Certificate_BIOM(JUNE'25)</t>
  </si>
  <si>
    <t>Samp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</si>
</sst>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16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0" xfId="0" applyBorder="1" applyAlignment="1">
      <alignment horizontal="center" wrapText="1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mkar Narayan Behera" id="{A6F1C584-9A81-435B-8200-A09C2F67EE0E}" userId="S::omkar.behera@odishamining.in::9ba30709-71ca-4959-91de-a3b9c166eb9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8" dT="2025-07-08T10:00:06.49" personId="{A6F1C584-9A81-435B-8200-A09C2F67EE0E}" id="{E8332A59-0ED9-42B2-B693-BC12D9B98337}">
    <text>65% CLO Produced
16.06.25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8" dT="2025-07-08T10:00:06.49" personId="{A6F1C584-9A81-435B-8200-A09C2F67EE0E}" id="{6E8449EC-6274-4123-B2C1-D383132E99ED}">
    <text>65% CLO Produced
16.06.25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62"/>
  <sheetViews>
    <sheetView tabSelected="1" topLeftCell="A3" zoomScale="70" zoomScaleNormal="70" workbookViewId="0">
      <selection activeCell="I60" sqref="I60"/>
    </sheetView>
  </sheetViews>
  <sheetFormatPr defaultColWidth="8.77734375" defaultRowHeight="14.4" x14ac:dyDescent="0.3"/>
  <cols>
    <col min="1" max="1" width="6.44140625" style="1" customWidth="1"/>
    <col min="2" max="2" width="14.88671875" style="1" customWidth="1"/>
    <col min="3" max="3" width="4.88671875" style="1" customWidth="1"/>
    <col min="4" max="4" width="18.6640625" style="1" bestFit="1" customWidth="1"/>
    <col min="5" max="5" width="14.6640625" style="1" bestFit="1" customWidth="1"/>
    <col min="6" max="6" width="15.44140625" style="1" bestFit="1" customWidth="1"/>
    <col min="7" max="8" width="15.44140625" style="1" customWidth="1"/>
    <col min="9" max="9" width="6.44140625" style="1" bestFit="1" customWidth="1"/>
    <col min="10" max="10" width="7.5546875" style="1" customWidth="1"/>
    <col min="11" max="13" width="6" style="1" customWidth="1"/>
    <col min="14" max="14" width="7.5546875" style="1" customWidth="1"/>
    <col min="15" max="15" width="6" style="1" customWidth="1"/>
    <col min="16" max="16" width="7" style="1" customWidth="1"/>
    <col min="17" max="17" width="19.77734375" style="1" customWidth="1"/>
    <col min="18" max="24" width="8.88671875" style="1" hidden="1" customWidth="1"/>
    <col min="25" max="28" width="8.77734375" style="1" hidden="1" customWidth="1"/>
    <col min="29" max="16384" width="8.77734375" style="1"/>
  </cols>
  <sheetData>
    <row r="1" spans="1:32" ht="15.6" x14ac:dyDescent="0.3">
      <c r="A1" s="57" t="s">
        <v>53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3" spans="1:32" x14ac:dyDescent="0.3">
      <c r="A3" s="6" t="s">
        <v>0</v>
      </c>
    </row>
    <row r="5" spans="1:32" x14ac:dyDescent="0.3">
      <c r="A5" s="54" t="s">
        <v>1</v>
      </c>
      <c r="B5" s="4" t="s">
        <v>96</v>
      </c>
      <c r="C5" s="56" t="s">
        <v>3</v>
      </c>
      <c r="D5" s="53"/>
      <c r="E5" s="60" t="s">
        <v>37</v>
      </c>
      <c r="F5" s="58" t="s">
        <v>38</v>
      </c>
      <c r="G5" s="61" t="s">
        <v>86</v>
      </c>
      <c r="H5" s="61" t="s">
        <v>87</v>
      </c>
      <c r="I5" s="59" t="s">
        <v>4</v>
      </c>
      <c r="J5" s="55"/>
      <c r="K5" s="55"/>
      <c r="L5" s="55"/>
      <c r="M5" s="55"/>
      <c r="N5" s="55"/>
      <c r="O5" s="55"/>
      <c r="P5" s="55"/>
    </row>
    <row r="6" spans="1:32" x14ac:dyDescent="0.3">
      <c r="A6" s="55"/>
      <c r="C6" s="55"/>
      <c r="D6" s="15" t="s">
        <v>47</v>
      </c>
      <c r="E6" s="55"/>
      <c r="F6" s="58"/>
      <c r="G6" s="4" t="s">
        <v>88</v>
      </c>
      <c r="H6" s="4" t="s">
        <v>89</v>
      </c>
      <c r="I6" s="7" t="s">
        <v>5</v>
      </c>
      <c r="J6" s="8" t="s">
        <v>6</v>
      </c>
      <c r="K6" s="9" t="s">
        <v>7</v>
      </c>
      <c r="L6" s="10" t="s">
        <v>8</v>
      </c>
      <c r="M6" s="11" t="s">
        <v>9</v>
      </c>
      <c r="N6" s="12" t="s">
        <v>10</v>
      </c>
      <c r="O6" s="13" t="s">
        <v>11</v>
      </c>
      <c r="P6" s="14" t="s">
        <v>12</v>
      </c>
    </row>
    <row r="7" spans="1:32" hidden="1" x14ac:dyDescent="0.3">
      <c r="A7" s="1">
        <v>1</v>
      </c>
      <c r="B7" s="1">
        <v>100986</v>
      </c>
      <c r="C7" s="1" t="s">
        <v>62</v>
      </c>
      <c r="D7" s="1" t="s">
        <v>54</v>
      </c>
      <c r="E7" s="2" t="s">
        <v>39</v>
      </c>
      <c r="F7" s="1">
        <v>200</v>
      </c>
      <c r="G7" s="1">
        <v>4.63</v>
      </c>
      <c r="H7" s="1">
        <v>4.88</v>
      </c>
      <c r="I7" s="1">
        <v>63.509</v>
      </c>
      <c r="J7" s="1">
        <v>2.74</v>
      </c>
      <c r="K7" s="1">
        <v>2.4670000000000001</v>
      </c>
      <c r="N7" s="1">
        <v>3.2000000000000001E-2</v>
      </c>
      <c r="P7" s="1">
        <v>3.59</v>
      </c>
      <c r="R7" s="1">
        <f t="shared" ref="R7:R28" si="0">$F7*I7</f>
        <v>12701.8</v>
      </c>
      <c r="S7" s="1">
        <f t="shared" ref="S7:S28" si="1">$F7*J7</f>
        <v>548</v>
      </c>
      <c r="T7" s="1">
        <f t="shared" ref="T7:T28" si="2">$F7*K7</f>
        <v>493.40000000000003</v>
      </c>
      <c r="U7" s="1">
        <f t="shared" ref="U7:U28" si="3">$F7*L7</f>
        <v>0</v>
      </c>
      <c r="V7" s="1">
        <f t="shared" ref="V7:V28" si="4">$F7*M7</f>
        <v>0</v>
      </c>
      <c r="W7" s="1">
        <f t="shared" ref="W7:W28" si="5">$F7*N7</f>
        <v>6.4</v>
      </c>
      <c r="X7" s="1">
        <f t="shared" ref="X7:X28" si="6">$F7*O7</f>
        <v>0</v>
      </c>
      <c r="Y7" s="1">
        <f t="shared" ref="Y7:Y28" si="7">$F7*P7</f>
        <v>718</v>
      </c>
      <c r="AA7" s="1">
        <f>$F7*G7</f>
        <v>926</v>
      </c>
      <c r="AB7" s="1">
        <f>$F7*H7</f>
        <v>976</v>
      </c>
    </row>
    <row r="8" spans="1:32" x14ac:dyDescent="0.3">
      <c r="A8" s="1">
        <v>2</v>
      </c>
      <c r="B8" s="1">
        <v>100985</v>
      </c>
      <c r="C8" s="1" t="s">
        <v>62</v>
      </c>
      <c r="D8" s="1" t="s">
        <v>56</v>
      </c>
      <c r="E8" s="2" t="s">
        <v>40</v>
      </c>
      <c r="F8" s="1">
        <v>800</v>
      </c>
      <c r="G8" s="1">
        <v>4.59</v>
      </c>
      <c r="H8" s="1">
        <v>95.41</v>
      </c>
      <c r="I8" s="1">
        <v>60.826000000000001</v>
      </c>
      <c r="J8" s="1">
        <v>4.26</v>
      </c>
      <c r="K8" s="1">
        <v>3.8130000000000002</v>
      </c>
      <c r="N8" s="1">
        <v>4.2999999999999997E-2</v>
      </c>
      <c r="P8" s="1">
        <v>4.08</v>
      </c>
      <c r="R8" s="1">
        <f t="shared" si="0"/>
        <v>48660.800000000003</v>
      </c>
      <c r="S8" s="1">
        <f t="shared" si="1"/>
        <v>3408</v>
      </c>
      <c r="T8" s="1">
        <f t="shared" si="2"/>
        <v>3050.4</v>
      </c>
      <c r="U8" s="1">
        <f t="shared" si="3"/>
        <v>0</v>
      </c>
      <c r="V8" s="1">
        <f t="shared" si="4"/>
        <v>0</v>
      </c>
      <c r="W8" s="1">
        <f t="shared" si="5"/>
        <v>34.4</v>
      </c>
      <c r="X8" s="1">
        <f t="shared" si="6"/>
        <v>0</v>
      </c>
      <c r="Y8" s="1">
        <f t="shared" si="7"/>
        <v>3264</v>
      </c>
      <c r="AA8" s="1">
        <f t="shared" ref="AA8:AA57" si="8">$F8*G8</f>
        <v>3672</v>
      </c>
      <c r="AB8" s="1">
        <f t="shared" ref="AB8:AB57" si="9">$F8*H8</f>
        <v>76328</v>
      </c>
    </row>
    <row r="9" spans="1:32" hidden="1" x14ac:dyDescent="0.3">
      <c r="A9" s="1">
        <v>3</v>
      </c>
      <c r="B9" s="1">
        <v>100981</v>
      </c>
      <c r="C9" s="1" t="s">
        <v>62</v>
      </c>
      <c r="D9" s="1" t="s">
        <v>55</v>
      </c>
      <c r="E9" s="2" t="s">
        <v>39</v>
      </c>
      <c r="F9" s="1">
        <v>300</v>
      </c>
      <c r="G9" s="1">
        <v>4.37</v>
      </c>
      <c r="H9" s="1">
        <v>4.7699999999999996</v>
      </c>
      <c r="I9" s="1">
        <v>61.048999999999999</v>
      </c>
      <c r="J9" s="1">
        <v>4.12</v>
      </c>
      <c r="K9" s="1">
        <v>3.6909999999999998</v>
      </c>
      <c r="N9" s="1">
        <v>3.5999999999999997E-2</v>
      </c>
      <c r="P9" s="1">
        <v>4.25</v>
      </c>
      <c r="R9" s="1">
        <f t="shared" si="0"/>
        <v>18314.7</v>
      </c>
      <c r="S9" s="1">
        <f t="shared" si="1"/>
        <v>1236</v>
      </c>
      <c r="T9" s="1">
        <f t="shared" si="2"/>
        <v>1107.3</v>
      </c>
      <c r="U9" s="1">
        <f t="shared" si="3"/>
        <v>0</v>
      </c>
      <c r="V9" s="1">
        <f t="shared" si="4"/>
        <v>0</v>
      </c>
      <c r="W9" s="1">
        <f t="shared" si="5"/>
        <v>10.799999999999999</v>
      </c>
      <c r="X9" s="1">
        <f t="shared" si="6"/>
        <v>0</v>
      </c>
      <c r="Y9" s="1">
        <f t="shared" si="7"/>
        <v>1275</v>
      </c>
      <c r="AA9" s="1">
        <f t="shared" si="8"/>
        <v>1311</v>
      </c>
      <c r="AB9" s="1">
        <f t="shared" si="9"/>
        <v>1430.9999999999998</v>
      </c>
    </row>
    <row r="10" spans="1:32" x14ac:dyDescent="0.3">
      <c r="A10" s="1">
        <v>4</v>
      </c>
      <c r="B10" s="1">
        <v>100980</v>
      </c>
      <c r="C10" s="1" t="s">
        <v>62</v>
      </c>
      <c r="D10" s="1" t="s">
        <v>55</v>
      </c>
      <c r="E10" s="2" t="s">
        <v>40</v>
      </c>
      <c r="F10" s="1">
        <v>1200</v>
      </c>
      <c r="G10" s="1">
        <v>4.83</v>
      </c>
      <c r="H10" s="1">
        <v>95.17</v>
      </c>
      <c r="I10" s="1">
        <v>60.826000000000001</v>
      </c>
      <c r="J10" s="1">
        <v>4.41</v>
      </c>
      <c r="K10" s="1">
        <v>3.8130000000000002</v>
      </c>
      <c r="N10" s="1">
        <v>3.2000000000000001E-2</v>
      </c>
      <c r="P10" s="1">
        <v>4.0199999999999996</v>
      </c>
      <c r="R10" s="1">
        <f t="shared" si="0"/>
        <v>72991.199999999997</v>
      </c>
      <c r="S10" s="1">
        <f t="shared" si="1"/>
        <v>5292</v>
      </c>
      <c r="T10" s="1">
        <f t="shared" si="2"/>
        <v>4575.6000000000004</v>
      </c>
      <c r="U10" s="1">
        <f t="shared" si="3"/>
        <v>0</v>
      </c>
      <c r="V10" s="1">
        <f t="shared" si="4"/>
        <v>0</v>
      </c>
      <c r="W10" s="1">
        <f t="shared" si="5"/>
        <v>38.4</v>
      </c>
      <c r="X10" s="1">
        <f t="shared" si="6"/>
        <v>0</v>
      </c>
      <c r="Y10" s="1">
        <f t="shared" si="7"/>
        <v>4823.9999999999991</v>
      </c>
      <c r="AA10" s="1">
        <f t="shared" si="8"/>
        <v>5796</v>
      </c>
      <c r="AB10" s="1">
        <f t="shared" si="9"/>
        <v>114204</v>
      </c>
      <c r="AF10" s="1">
        <f>52.28+125.73</f>
        <v>178.01</v>
      </c>
    </row>
    <row r="11" spans="1:32" hidden="1" x14ac:dyDescent="0.3">
      <c r="A11" s="1">
        <v>5</v>
      </c>
      <c r="B11" s="1">
        <v>98116</v>
      </c>
      <c r="C11" s="1" t="s">
        <v>62</v>
      </c>
      <c r="D11" s="1" t="s">
        <v>57</v>
      </c>
      <c r="E11" s="2" t="s">
        <v>39</v>
      </c>
      <c r="F11" s="1">
        <v>200</v>
      </c>
      <c r="G11" s="1">
        <v>4.59</v>
      </c>
      <c r="H11" s="1">
        <v>4.88</v>
      </c>
      <c r="I11" s="1">
        <v>62.838000000000001</v>
      </c>
      <c r="J11" s="1">
        <v>2.81</v>
      </c>
      <c r="K11" s="1">
        <v>2.2639999999999998</v>
      </c>
      <c r="N11" s="1">
        <v>4.1000000000000002E-2</v>
      </c>
      <c r="P11" s="1">
        <v>4.55</v>
      </c>
      <c r="R11" s="1">
        <f t="shared" si="0"/>
        <v>12567.6</v>
      </c>
      <c r="S11" s="1">
        <f t="shared" si="1"/>
        <v>562</v>
      </c>
      <c r="T11" s="1">
        <f t="shared" si="2"/>
        <v>452.79999999999995</v>
      </c>
      <c r="U11" s="1">
        <f t="shared" si="3"/>
        <v>0</v>
      </c>
      <c r="V11" s="1">
        <f t="shared" si="4"/>
        <v>0</v>
      </c>
      <c r="W11" s="1">
        <f t="shared" si="5"/>
        <v>8.2000000000000011</v>
      </c>
      <c r="X11" s="1">
        <f t="shared" si="6"/>
        <v>0</v>
      </c>
      <c r="Y11" s="1">
        <f t="shared" si="7"/>
        <v>910</v>
      </c>
      <c r="AA11" s="1">
        <f t="shared" si="8"/>
        <v>918</v>
      </c>
      <c r="AB11" s="1">
        <f t="shared" si="9"/>
        <v>976</v>
      </c>
    </row>
    <row r="12" spans="1:32" x14ac:dyDescent="0.3">
      <c r="A12" s="1">
        <v>6</v>
      </c>
      <c r="B12" s="1">
        <v>100979</v>
      </c>
      <c r="C12" s="1" t="s">
        <v>62</v>
      </c>
      <c r="D12" s="1" t="s">
        <v>57</v>
      </c>
      <c r="E12" s="2" t="s">
        <v>40</v>
      </c>
      <c r="F12" s="1">
        <v>800</v>
      </c>
      <c r="G12" s="1">
        <v>4.8099999999999996</v>
      </c>
      <c r="H12" s="1">
        <v>95.19</v>
      </c>
      <c r="I12" s="1">
        <v>60.601999999999997</v>
      </c>
      <c r="J12" s="1">
        <v>4.21</v>
      </c>
      <c r="K12" s="1">
        <v>3.548</v>
      </c>
      <c r="N12" s="1">
        <v>4.5999999999999999E-2</v>
      </c>
      <c r="P12" s="1">
        <v>4.8</v>
      </c>
      <c r="R12" s="1">
        <f t="shared" si="0"/>
        <v>48481.599999999999</v>
      </c>
      <c r="S12" s="1">
        <f t="shared" si="1"/>
        <v>3368</v>
      </c>
      <c r="T12" s="1">
        <f t="shared" si="2"/>
        <v>2838.4</v>
      </c>
      <c r="U12" s="1">
        <f t="shared" si="3"/>
        <v>0</v>
      </c>
      <c r="V12" s="1">
        <f t="shared" si="4"/>
        <v>0</v>
      </c>
      <c r="W12" s="1">
        <f t="shared" si="5"/>
        <v>36.799999999999997</v>
      </c>
      <c r="X12" s="1">
        <f t="shared" si="6"/>
        <v>0</v>
      </c>
      <c r="Y12" s="1">
        <f t="shared" si="7"/>
        <v>3840</v>
      </c>
      <c r="AA12" s="1">
        <f t="shared" si="8"/>
        <v>3847.9999999999995</v>
      </c>
      <c r="AB12" s="1">
        <f t="shared" si="9"/>
        <v>76152</v>
      </c>
    </row>
    <row r="13" spans="1:32" hidden="1" x14ac:dyDescent="0.3">
      <c r="A13" s="1">
        <v>7</v>
      </c>
      <c r="B13" s="1">
        <v>98115</v>
      </c>
      <c r="C13" s="1" t="s">
        <v>62</v>
      </c>
      <c r="D13" s="1" t="s">
        <v>55</v>
      </c>
      <c r="E13" s="2" t="s">
        <v>39</v>
      </c>
      <c r="F13" s="1">
        <v>400</v>
      </c>
      <c r="G13" s="1">
        <v>4.33</v>
      </c>
      <c r="H13" s="1">
        <v>4.7</v>
      </c>
      <c r="I13" s="1">
        <v>64.626999999999995</v>
      </c>
      <c r="J13" s="1">
        <v>2.41</v>
      </c>
      <c r="K13" s="1">
        <v>2.0390000000000001</v>
      </c>
      <c r="N13" s="1">
        <v>1.7999999999999999E-2</v>
      </c>
      <c r="P13" s="1">
        <v>3.11</v>
      </c>
      <c r="R13" s="1">
        <f t="shared" si="0"/>
        <v>25850.799999999999</v>
      </c>
      <c r="S13" s="1">
        <f t="shared" si="1"/>
        <v>964</v>
      </c>
      <c r="T13" s="1">
        <f t="shared" si="2"/>
        <v>815.6</v>
      </c>
      <c r="U13" s="1">
        <f t="shared" si="3"/>
        <v>0</v>
      </c>
      <c r="V13" s="1">
        <f t="shared" si="4"/>
        <v>0</v>
      </c>
      <c r="W13" s="1">
        <f t="shared" si="5"/>
        <v>7.1999999999999993</v>
      </c>
      <c r="X13" s="1">
        <f t="shared" si="6"/>
        <v>0</v>
      </c>
      <c r="Y13" s="1">
        <f t="shared" si="7"/>
        <v>1244</v>
      </c>
      <c r="AA13" s="1">
        <f t="shared" si="8"/>
        <v>1732</v>
      </c>
      <c r="AB13" s="1">
        <f t="shared" si="9"/>
        <v>1880</v>
      </c>
    </row>
    <row r="14" spans="1:32" x14ac:dyDescent="0.3">
      <c r="A14" s="1">
        <v>8</v>
      </c>
      <c r="B14" s="1">
        <v>98114</v>
      </c>
      <c r="C14" s="1" t="s">
        <v>62</v>
      </c>
      <c r="D14" s="1" t="s">
        <v>55</v>
      </c>
      <c r="E14" s="2" t="s">
        <v>40</v>
      </c>
      <c r="F14" s="1">
        <v>600</v>
      </c>
      <c r="G14" s="1">
        <v>4.58</v>
      </c>
      <c r="H14" s="1">
        <v>95.42</v>
      </c>
      <c r="I14" s="1">
        <v>63.509</v>
      </c>
      <c r="J14" s="1">
        <v>2.81</v>
      </c>
      <c r="K14" s="1">
        <v>2.7530000000000001</v>
      </c>
      <c r="N14" s="1">
        <v>4.4999999999999998E-2</v>
      </c>
      <c r="P14" s="1">
        <v>3.49</v>
      </c>
      <c r="R14" s="1">
        <f t="shared" si="0"/>
        <v>38105.4</v>
      </c>
      <c r="S14" s="1">
        <f t="shared" si="1"/>
        <v>1686</v>
      </c>
      <c r="T14" s="1">
        <f t="shared" si="2"/>
        <v>1651.8000000000002</v>
      </c>
      <c r="U14" s="1">
        <f t="shared" si="3"/>
        <v>0</v>
      </c>
      <c r="V14" s="1">
        <f t="shared" si="4"/>
        <v>0</v>
      </c>
      <c r="W14" s="1">
        <f t="shared" si="5"/>
        <v>27</v>
      </c>
      <c r="X14" s="1">
        <f t="shared" si="6"/>
        <v>0</v>
      </c>
      <c r="Y14" s="1">
        <f t="shared" si="7"/>
        <v>2094</v>
      </c>
      <c r="AA14" s="1">
        <f t="shared" si="8"/>
        <v>2748</v>
      </c>
      <c r="AB14" s="1">
        <f t="shared" si="9"/>
        <v>57252</v>
      </c>
    </row>
    <row r="15" spans="1:32" x14ac:dyDescent="0.3">
      <c r="A15" s="1">
        <v>9</v>
      </c>
      <c r="B15" s="1">
        <v>98113</v>
      </c>
      <c r="C15" s="1" t="s">
        <v>62</v>
      </c>
      <c r="D15" s="1" t="s">
        <v>55</v>
      </c>
      <c r="E15" s="2" t="s">
        <v>40</v>
      </c>
      <c r="F15" s="1">
        <v>1000</v>
      </c>
      <c r="G15" s="1">
        <v>4.82</v>
      </c>
      <c r="H15" s="1">
        <v>95.18</v>
      </c>
      <c r="I15" s="1">
        <v>63.732999999999997</v>
      </c>
      <c r="J15" s="1">
        <v>3.21</v>
      </c>
      <c r="K15" s="1">
        <v>2.0390000000000001</v>
      </c>
      <c r="N15" s="1">
        <v>0.03</v>
      </c>
      <c r="P15" s="1">
        <v>3.44</v>
      </c>
      <c r="R15" s="1">
        <f t="shared" si="0"/>
        <v>63733</v>
      </c>
      <c r="S15" s="1">
        <f t="shared" si="1"/>
        <v>3210</v>
      </c>
      <c r="T15" s="1">
        <f t="shared" si="2"/>
        <v>2039.0000000000002</v>
      </c>
      <c r="U15" s="1">
        <f t="shared" si="3"/>
        <v>0</v>
      </c>
      <c r="V15" s="1">
        <f t="shared" si="4"/>
        <v>0</v>
      </c>
      <c r="W15" s="1">
        <f t="shared" si="5"/>
        <v>30</v>
      </c>
      <c r="X15" s="1">
        <f t="shared" si="6"/>
        <v>0</v>
      </c>
      <c r="Y15" s="1">
        <f t="shared" si="7"/>
        <v>3440</v>
      </c>
      <c r="AA15" s="1">
        <f t="shared" si="8"/>
        <v>4820</v>
      </c>
      <c r="AB15" s="1">
        <f t="shared" si="9"/>
        <v>95180</v>
      </c>
    </row>
    <row r="16" spans="1:32" hidden="1" x14ac:dyDescent="0.3">
      <c r="A16" s="1">
        <v>10</v>
      </c>
      <c r="B16" s="1">
        <v>98137</v>
      </c>
      <c r="C16" s="1" t="s">
        <v>62</v>
      </c>
      <c r="D16" s="1" t="s">
        <v>57</v>
      </c>
      <c r="E16" s="2" t="s">
        <v>39</v>
      </c>
      <c r="F16" s="1">
        <v>300</v>
      </c>
      <c r="G16" s="1">
        <v>4.18</v>
      </c>
      <c r="H16" s="1">
        <v>4.78</v>
      </c>
      <c r="I16" s="1">
        <v>60.844000000000001</v>
      </c>
      <c r="J16" s="1">
        <v>4.03</v>
      </c>
      <c r="K16" s="1">
        <v>3.222</v>
      </c>
      <c r="N16" s="1">
        <v>3.5000000000000003E-2</v>
      </c>
      <c r="P16" s="1">
        <v>5.34</v>
      </c>
      <c r="R16" s="1">
        <f t="shared" si="0"/>
        <v>18253.2</v>
      </c>
      <c r="S16" s="1">
        <f t="shared" si="1"/>
        <v>1209</v>
      </c>
      <c r="T16" s="1">
        <f t="shared" si="2"/>
        <v>966.6</v>
      </c>
      <c r="U16" s="1">
        <f t="shared" si="3"/>
        <v>0</v>
      </c>
      <c r="V16" s="1">
        <f t="shared" si="4"/>
        <v>0</v>
      </c>
      <c r="W16" s="1">
        <f t="shared" si="5"/>
        <v>10.500000000000002</v>
      </c>
      <c r="X16" s="1">
        <f t="shared" si="6"/>
        <v>0</v>
      </c>
      <c r="Y16" s="1">
        <f t="shared" si="7"/>
        <v>1602</v>
      </c>
      <c r="AA16" s="1">
        <f t="shared" si="8"/>
        <v>1254</v>
      </c>
      <c r="AB16" s="1">
        <f t="shared" si="9"/>
        <v>1434</v>
      </c>
    </row>
    <row r="17" spans="1:28" x14ac:dyDescent="0.3">
      <c r="A17" s="1">
        <v>11</v>
      </c>
      <c r="B17" s="1">
        <v>98136</v>
      </c>
      <c r="C17" s="1" t="s">
        <v>62</v>
      </c>
      <c r="D17" s="1" t="s">
        <v>56</v>
      </c>
      <c r="E17" s="2" t="s">
        <v>40</v>
      </c>
      <c r="F17" s="1">
        <v>1200</v>
      </c>
      <c r="G17" s="1">
        <v>4.75</v>
      </c>
      <c r="H17" s="1">
        <v>95.25</v>
      </c>
      <c r="I17" s="1">
        <v>62.64</v>
      </c>
      <c r="J17" s="1">
        <v>3.78</v>
      </c>
      <c r="K17" s="1">
        <v>2.6509999999999998</v>
      </c>
      <c r="N17" s="1">
        <v>2.8000000000000001E-2</v>
      </c>
      <c r="P17" s="1">
        <v>3.65</v>
      </c>
      <c r="R17" s="1">
        <f t="shared" si="0"/>
        <v>75168</v>
      </c>
      <c r="S17" s="1">
        <f t="shared" si="1"/>
        <v>4536</v>
      </c>
      <c r="T17" s="1">
        <f t="shared" si="2"/>
        <v>3181.2</v>
      </c>
      <c r="U17" s="1">
        <f t="shared" si="3"/>
        <v>0</v>
      </c>
      <c r="V17" s="1">
        <f t="shared" si="4"/>
        <v>0</v>
      </c>
      <c r="W17" s="1">
        <f t="shared" si="5"/>
        <v>33.6</v>
      </c>
      <c r="X17" s="1">
        <f t="shared" si="6"/>
        <v>0</v>
      </c>
      <c r="Y17" s="1">
        <f t="shared" si="7"/>
        <v>4380</v>
      </c>
      <c r="AA17" s="1">
        <f t="shared" si="8"/>
        <v>5700</v>
      </c>
      <c r="AB17" s="1">
        <f t="shared" si="9"/>
        <v>114300</v>
      </c>
    </row>
    <row r="18" spans="1:28" x14ac:dyDescent="0.3">
      <c r="A18" s="1">
        <v>12</v>
      </c>
      <c r="B18" s="1">
        <v>98139</v>
      </c>
      <c r="C18" s="1" t="s">
        <v>62</v>
      </c>
      <c r="D18" s="1" t="s">
        <v>55</v>
      </c>
      <c r="E18" s="2" t="s">
        <v>40</v>
      </c>
      <c r="F18" s="5">
        <v>300</v>
      </c>
      <c r="G18" s="5">
        <v>4.83</v>
      </c>
      <c r="H18" s="5">
        <v>95.17</v>
      </c>
      <c r="I18" s="5">
        <v>65.39</v>
      </c>
      <c r="J18" s="1">
        <v>4.9574800000000003</v>
      </c>
      <c r="K18" s="1">
        <v>0.32900000000000001</v>
      </c>
      <c r="L18" s="1">
        <v>0</v>
      </c>
      <c r="M18" s="1">
        <v>1.7999999999999999E-2</v>
      </c>
      <c r="N18" s="1">
        <v>1.7559999999999999E-2</v>
      </c>
      <c r="O18" s="1">
        <v>4.0000000000000001E-3</v>
      </c>
      <c r="P18" s="1">
        <v>1.1000000000000001</v>
      </c>
      <c r="R18" s="1">
        <f t="shared" si="0"/>
        <v>19617</v>
      </c>
      <c r="S18" s="1">
        <f t="shared" si="1"/>
        <v>1487.2440000000001</v>
      </c>
      <c r="T18" s="1">
        <f t="shared" si="2"/>
        <v>98.7</v>
      </c>
      <c r="U18" s="1">
        <f t="shared" si="3"/>
        <v>0</v>
      </c>
      <c r="V18" s="1">
        <f t="shared" si="4"/>
        <v>5.3999999999999995</v>
      </c>
      <c r="W18" s="1">
        <f t="shared" si="5"/>
        <v>5.2679999999999998</v>
      </c>
      <c r="X18" s="1">
        <f t="shared" si="6"/>
        <v>1.2</v>
      </c>
      <c r="Y18" s="1">
        <f t="shared" si="7"/>
        <v>330</v>
      </c>
      <c r="AA18" s="1">
        <f t="shared" si="8"/>
        <v>1449</v>
      </c>
      <c r="AB18" s="1">
        <f t="shared" si="9"/>
        <v>28551</v>
      </c>
    </row>
    <row r="19" spans="1:28" hidden="1" x14ac:dyDescent="0.3">
      <c r="A19" s="1">
        <v>13</v>
      </c>
      <c r="B19" s="1">
        <v>98142</v>
      </c>
      <c r="C19" s="1" t="s">
        <v>62</v>
      </c>
      <c r="D19" s="1" t="s">
        <v>55</v>
      </c>
      <c r="E19" s="2" t="s">
        <v>39</v>
      </c>
      <c r="F19" s="1">
        <v>300</v>
      </c>
      <c r="G19" s="1">
        <v>3.84</v>
      </c>
      <c r="H19" s="1">
        <v>4.25</v>
      </c>
      <c r="I19" s="1">
        <v>61.77</v>
      </c>
      <c r="J19" s="1">
        <v>6.51769</v>
      </c>
      <c r="K19" s="1">
        <v>2.302</v>
      </c>
      <c r="L19" s="1">
        <v>0</v>
      </c>
      <c r="M19" s="1">
        <v>3.1E-2</v>
      </c>
      <c r="N19" s="1">
        <v>3.356E-2</v>
      </c>
      <c r="O19" s="1">
        <v>2.3E-2</v>
      </c>
      <c r="P19" s="1">
        <v>2.66</v>
      </c>
      <c r="R19" s="1">
        <f t="shared" si="0"/>
        <v>18531</v>
      </c>
      <c r="S19" s="1">
        <f t="shared" si="1"/>
        <v>1955.307</v>
      </c>
      <c r="T19" s="1">
        <f t="shared" si="2"/>
        <v>690.6</v>
      </c>
      <c r="U19" s="1">
        <f t="shared" si="3"/>
        <v>0</v>
      </c>
      <c r="V19" s="1">
        <f t="shared" si="4"/>
        <v>9.3000000000000007</v>
      </c>
      <c r="W19" s="1">
        <f t="shared" si="5"/>
        <v>10.068</v>
      </c>
      <c r="X19" s="1">
        <f t="shared" si="6"/>
        <v>6.8999999999999995</v>
      </c>
      <c r="Y19" s="1">
        <f t="shared" si="7"/>
        <v>798</v>
      </c>
      <c r="AA19" s="1">
        <f t="shared" si="8"/>
        <v>1152</v>
      </c>
      <c r="AB19" s="1">
        <f t="shared" si="9"/>
        <v>1275</v>
      </c>
    </row>
    <row r="20" spans="1:28" x14ac:dyDescent="0.3">
      <c r="A20" s="1">
        <v>14</v>
      </c>
      <c r="B20" s="1">
        <v>98138</v>
      </c>
      <c r="C20" s="1" t="s">
        <v>62</v>
      </c>
      <c r="D20" s="1" t="s">
        <v>55</v>
      </c>
      <c r="E20" s="2" t="s">
        <v>40</v>
      </c>
      <c r="F20" s="1">
        <v>900</v>
      </c>
      <c r="G20" s="1">
        <v>4.75</v>
      </c>
      <c r="H20" s="1">
        <v>95.25</v>
      </c>
      <c r="I20" s="1">
        <v>55.73</v>
      </c>
      <c r="J20" s="1">
        <v>8.5522299999999998</v>
      </c>
      <c r="K20" s="1">
        <v>6.1029999999999998</v>
      </c>
      <c r="L20" s="1">
        <v>2E-3</v>
      </c>
      <c r="M20" s="1">
        <v>7.9000000000000001E-2</v>
      </c>
      <c r="N20" s="1">
        <v>4.3470000000000002E-2</v>
      </c>
      <c r="O20" s="1">
        <v>1.4999999999999999E-2</v>
      </c>
      <c r="P20" s="1">
        <v>5.34</v>
      </c>
      <c r="R20" s="1">
        <f t="shared" si="0"/>
        <v>50157</v>
      </c>
      <c r="S20" s="1">
        <f t="shared" si="1"/>
        <v>7697.0069999999996</v>
      </c>
      <c r="T20" s="1">
        <f t="shared" si="2"/>
        <v>5492.7</v>
      </c>
      <c r="U20" s="1">
        <f t="shared" si="3"/>
        <v>1.8</v>
      </c>
      <c r="V20" s="1">
        <f t="shared" si="4"/>
        <v>71.099999999999994</v>
      </c>
      <c r="W20" s="1">
        <f t="shared" si="5"/>
        <v>39.123000000000005</v>
      </c>
      <c r="X20" s="1">
        <f t="shared" si="6"/>
        <v>13.5</v>
      </c>
      <c r="Y20" s="1">
        <f t="shared" si="7"/>
        <v>4806</v>
      </c>
      <c r="AA20" s="1">
        <f t="shared" si="8"/>
        <v>4275</v>
      </c>
      <c r="AB20" s="1">
        <f t="shared" si="9"/>
        <v>85725</v>
      </c>
    </row>
    <row r="21" spans="1:28" x14ac:dyDescent="0.3">
      <c r="A21" s="1">
        <v>15</v>
      </c>
      <c r="B21" s="1">
        <v>98144</v>
      </c>
      <c r="C21" s="1" t="s">
        <v>62</v>
      </c>
      <c r="D21" s="1" t="s">
        <v>57</v>
      </c>
      <c r="E21" s="2" t="s">
        <v>40</v>
      </c>
      <c r="F21" s="1">
        <v>600</v>
      </c>
      <c r="G21" s="1">
        <v>4.3</v>
      </c>
      <c r="H21" s="1">
        <v>95.7</v>
      </c>
      <c r="I21" s="1">
        <v>57.98</v>
      </c>
      <c r="J21" s="1">
        <v>7.0658700000000003</v>
      </c>
      <c r="K21" s="1">
        <v>5.2149999999999999</v>
      </c>
      <c r="L21" s="1">
        <v>0</v>
      </c>
      <c r="M21" s="1">
        <v>0.13600000000000001</v>
      </c>
      <c r="N21" s="1">
        <v>4.267E-2</v>
      </c>
      <c r="O21" s="1">
        <v>4.4999999999999998E-2</v>
      </c>
      <c r="P21" s="1">
        <v>4.34</v>
      </c>
      <c r="R21" s="1">
        <f t="shared" si="0"/>
        <v>34788</v>
      </c>
      <c r="S21" s="1">
        <f t="shared" si="1"/>
        <v>4239.5219999999999</v>
      </c>
      <c r="T21" s="1">
        <f t="shared" si="2"/>
        <v>3129</v>
      </c>
      <c r="U21" s="1">
        <f t="shared" si="3"/>
        <v>0</v>
      </c>
      <c r="V21" s="1">
        <f t="shared" si="4"/>
        <v>81.600000000000009</v>
      </c>
      <c r="W21" s="1">
        <f t="shared" si="5"/>
        <v>25.602</v>
      </c>
      <c r="X21" s="1">
        <f t="shared" si="6"/>
        <v>27</v>
      </c>
      <c r="Y21" s="1">
        <f t="shared" si="7"/>
        <v>2604</v>
      </c>
      <c r="AA21" s="1">
        <f t="shared" si="8"/>
        <v>2580</v>
      </c>
      <c r="AB21" s="1">
        <f t="shared" si="9"/>
        <v>57420</v>
      </c>
    </row>
    <row r="22" spans="1:28" x14ac:dyDescent="0.3">
      <c r="A22" s="1">
        <v>16</v>
      </c>
      <c r="B22" s="1">
        <v>98143</v>
      </c>
      <c r="C22" s="1" t="s">
        <v>62</v>
      </c>
      <c r="D22" s="1" t="s">
        <v>57</v>
      </c>
      <c r="E22" s="2" t="s">
        <v>40</v>
      </c>
      <c r="F22" s="1">
        <v>1000</v>
      </c>
      <c r="G22" s="1">
        <v>4.37</v>
      </c>
      <c r="H22" s="1">
        <v>95.63</v>
      </c>
      <c r="I22" s="1">
        <v>60.08</v>
      </c>
      <c r="J22" s="1">
        <v>5.5329199999999998</v>
      </c>
      <c r="K22" s="1">
        <v>4.2270000000000003</v>
      </c>
      <c r="L22" s="1">
        <v>0</v>
      </c>
      <c r="M22" s="1">
        <v>9.1999999999999998E-2</v>
      </c>
      <c r="N22" s="1">
        <v>3.9890000000000002E-2</v>
      </c>
      <c r="O22" s="1">
        <v>2.5999999999999999E-2</v>
      </c>
      <c r="P22" s="1">
        <v>3.92</v>
      </c>
      <c r="R22" s="1">
        <f t="shared" si="0"/>
        <v>60080</v>
      </c>
      <c r="S22" s="1">
        <f t="shared" si="1"/>
        <v>5532.92</v>
      </c>
      <c r="T22" s="1">
        <f t="shared" si="2"/>
        <v>4227</v>
      </c>
      <c r="U22" s="1">
        <f t="shared" si="3"/>
        <v>0</v>
      </c>
      <c r="V22" s="1">
        <f t="shared" si="4"/>
        <v>92</v>
      </c>
      <c r="W22" s="1">
        <f t="shared" si="5"/>
        <v>39.89</v>
      </c>
      <c r="X22" s="1">
        <f t="shared" si="6"/>
        <v>26</v>
      </c>
      <c r="Y22" s="1">
        <f t="shared" si="7"/>
        <v>3920</v>
      </c>
      <c r="AA22" s="1">
        <f t="shared" si="8"/>
        <v>4370</v>
      </c>
      <c r="AB22" s="1">
        <f t="shared" si="9"/>
        <v>95630</v>
      </c>
    </row>
    <row r="23" spans="1:28" hidden="1" x14ac:dyDescent="0.3">
      <c r="A23" s="1">
        <v>17</v>
      </c>
      <c r="B23" s="1">
        <v>98145</v>
      </c>
      <c r="C23" s="1" t="s">
        <v>62</v>
      </c>
      <c r="D23" s="1" t="s">
        <v>57</v>
      </c>
      <c r="E23" s="2" t="s">
        <v>39</v>
      </c>
      <c r="F23" s="1">
        <v>400</v>
      </c>
      <c r="G23" s="1">
        <v>4.6500000000000004</v>
      </c>
      <c r="H23" s="1">
        <v>4.91</v>
      </c>
      <c r="I23" s="1">
        <v>59.2</v>
      </c>
      <c r="J23" s="1">
        <v>3.4665900000000001</v>
      </c>
      <c r="K23" s="1">
        <v>4.907</v>
      </c>
      <c r="L23" s="1">
        <v>0</v>
      </c>
      <c r="M23" s="1">
        <v>2.8000000000000001E-2</v>
      </c>
      <c r="N23" s="1">
        <v>8.6580000000000004E-2</v>
      </c>
      <c r="O23" s="1">
        <v>2.1999999999999999E-2</v>
      </c>
      <c r="P23" s="1">
        <v>6.64</v>
      </c>
      <c r="R23" s="1">
        <f t="shared" si="0"/>
        <v>23680</v>
      </c>
      <c r="S23" s="1">
        <f t="shared" si="1"/>
        <v>1386.636</v>
      </c>
      <c r="T23" s="1">
        <f t="shared" si="2"/>
        <v>1962.8</v>
      </c>
      <c r="U23" s="1">
        <f t="shared" si="3"/>
        <v>0</v>
      </c>
      <c r="V23" s="1">
        <f t="shared" si="4"/>
        <v>11.200000000000001</v>
      </c>
      <c r="W23" s="1">
        <f t="shared" si="5"/>
        <v>34.632000000000005</v>
      </c>
      <c r="X23" s="1">
        <f t="shared" si="6"/>
        <v>8.7999999999999989</v>
      </c>
      <c r="Y23" s="1">
        <f t="shared" si="7"/>
        <v>2656</v>
      </c>
      <c r="AA23" s="1">
        <f t="shared" si="8"/>
        <v>1860.0000000000002</v>
      </c>
      <c r="AB23" s="1">
        <f t="shared" si="9"/>
        <v>1964</v>
      </c>
    </row>
    <row r="24" spans="1:28" hidden="1" x14ac:dyDescent="0.3">
      <c r="A24" s="1">
        <v>18</v>
      </c>
      <c r="B24" s="1">
        <v>98159</v>
      </c>
      <c r="C24" s="1" t="s">
        <v>62</v>
      </c>
      <c r="D24" s="1" t="s">
        <v>85</v>
      </c>
      <c r="E24" s="2" t="s">
        <v>39</v>
      </c>
      <c r="F24" s="1">
        <v>300</v>
      </c>
      <c r="G24" s="1">
        <v>3.16</v>
      </c>
      <c r="H24" s="1">
        <v>4.92</v>
      </c>
      <c r="I24" s="1">
        <v>61.66</v>
      </c>
      <c r="J24" s="1">
        <v>2.8306</v>
      </c>
      <c r="K24" s="1">
        <v>3.8010000000000002</v>
      </c>
      <c r="L24" s="1">
        <v>0</v>
      </c>
      <c r="M24" s="1">
        <v>2.1999999999999999E-2</v>
      </c>
      <c r="N24" s="1">
        <v>6.6869999999999999E-2</v>
      </c>
      <c r="O24" s="1">
        <v>7.0000000000000001E-3</v>
      </c>
      <c r="P24" s="1">
        <v>4.92</v>
      </c>
      <c r="R24" s="1">
        <f t="shared" si="0"/>
        <v>18498</v>
      </c>
      <c r="S24" s="1">
        <f t="shared" si="1"/>
        <v>849.18</v>
      </c>
      <c r="T24" s="1">
        <f t="shared" si="2"/>
        <v>1140.3</v>
      </c>
      <c r="U24" s="1">
        <f t="shared" si="3"/>
        <v>0</v>
      </c>
      <c r="V24" s="1">
        <f t="shared" si="4"/>
        <v>6.6</v>
      </c>
      <c r="W24" s="1">
        <f t="shared" si="5"/>
        <v>20.061</v>
      </c>
      <c r="X24" s="1">
        <f t="shared" si="6"/>
        <v>2.1</v>
      </c>
      <c r="Y24" s="1">
        <f t="shared" si="7"/>
        <v>1476</v>
      </c>
      <c r="AA24" s="1">
        <f t="shared" si="8"/>
        <v>948</v>
      </c>
      <c r="AB24" s="1">
        <f t="shared" si="9"/>
        <v>1476</v>
      </c>
    </row>
    <row r="25" spans="1:28" x14ac:dyDescent="0.3">
      <c r="A25" s="1">
        <v>19</v>
      </c>
      <c r="B25" s="1">
        <v>98158</v>
      </c>
      <c r="C25" s="1" t="s">
        <v>62</v>
      </c>
      <c r="D25" s="1" t="s">
        <v>85</v>
      </c>
      <c r="E25" s="2" t="s">
        <v>40</v>
      </c>
      <c r="F25" s="1">
        <v>1200</v>
      </c>
      <c r="G25" s="1">
        <v>4.7</v>
      </c>
      <c r="H25" s="1">
        <v>95.3</v>
      </c>
      <c r="I25" s="1">
        <v>60.45</v>
      </c>
      <c r="J25" s="1">
        <v>3.9566599999999998</v>
      </c>
      <c r="K25" s="1">
        <v>4.4189999999999996</v>
      </c>
      <c r="L25" s="1">
        <v>0</v>
      </c>
      <c r="M25" s="1">
        <v>4.9000000000000002E-2</v>
      </c>
      <c r="N25" s="1">
        <v>6.1690000000000002E-2</v>
      </c>
      <c r="O25" s="1">
        <v>1.7000000000000001E-2</v>
      </c>
      <c r="P25" s="1">
        <v>4.8899999999999997</v>
      </c>
      <c r="R25" s="1">
        <f t="shared" si="0"/>
        <v>72540</v>
      </c>
      <c r="S25" s="1">
        <f t="shared" si="1"/>
        <v>4747.9920000000002</v>
      </c>
      <c r="T25" s="1">
        <f t="shared" si="2"/>
        <v>5302.7999999999993</v>
      </c>
      <c r="U25" s="1">
        <f t="shared" si="3"/>
        <v>0</v>
      </c>
      <c r="V25" s="1">
        <f t="shared" si="4"/>
        <v>58.800000000000004</v>
      </c>
      <c r="W25" s="1">
        <f t="shared" si="5"/>
        <v>74.028000000000006</v>
      </c>
      <c r="X25" s="1">
        <f t="shared" si="6"/>
        <v>20.400000000000002</v>
      </c>
      <c r="Y25" s="1">
        <f t="shared" si="7"/>
        <v>5868</v>
      </c>
      <c r="AA25" s="1">
        <f t="shared" si="8"/>
        <v>5640</v>
      </c>
      <c r="AB25" s="1">
        <f t="shared" si="9"/>
        <v>114360</v>
      </c>
    </row>
    <row r="26" spans="1:28" x14ac:dyDescent="0.3">
      <c r="A26" s="1">
        <v>20</v>
      </c>
      <c r="B26" s="1">
        <v>98162</v>
      </c>
      <c r="C26" s="1" t="s">
        <v>62</v>
      </c>
      <c r="D26" s="1" t="s">
        <v>57</v>
      </c>
      <c r="E26" s="2" t="s">
        <v>40</v>
      </c>
      <c r="F26" s="1">
        <v>600</v>
      </c>
      <c r="G26" s="1">
        <v>4.84</v>
      </c>
      <c r="H26" s="1">
        <v>95.16</v>
      </c>
      <c r="I26" s="1">
        <v>59.84</v>
      </c>
      <c r="J26" s="1">
        <v>5.2018399999999998</v>
      </c>
      <c r="K26" s="1">
        <v>4.6280000000000001</v>
      </c>
      <c r="L26" s="1">
        <v>0</v>
      </c>
      <c r="M26" s="1">
        <v>6.8000000000000005E-2</v>
      </c>
      <c r="N26" s="1">
        <v>4.7669999999999997E-2</v>
      </c>
      <c r="O26" s="1">
        <v>4.2000000000000003E-2</v>
      </c>
      <c r="P26" s="1">
        <v>4.2699999999999996</v>
      </c>
      <c r="R26" s="1">
        <f t="shared" si="0"/>
        <v>35904</v>
      </c>
      <c r="S26" s="1">
        <f t="shared" si="1"/>
        <v>3121.1039999999998</v>
      </c>
      <c r="T26" s="1">
        <f t="shared" si="2"/>
        <v>2776.8</v>
      </c>
      <c r="U26" s="1">
        <f t="shared" si="3"/>
        <v>0</v>
      </c>
      <c r="V26" s="1">
        <f t="shared" si="4"/>
        <v>40.800000000000004</v>
      </c>
      <c r="W26" s="1">
        <f t="shared" si="5"/>
        <v>28.601999999999997</v>
      </c>
      <c r="X26" s="1">
        <f t="shared" si="6"/>
        <v>25.200000000000003</v>
      </c>
      <c r="Y26" s="1">
        <f t="shared" si="7"/>
        <v>2561.9999999999995</v>
      </c>
      <c r="AA26" s="1">
        <f t="shared" si="8"/>
        <v>2904</v>
      </c>
      <c r="AB26" s="1">
        <f t="shared" si="9"/>
        <v>57096</v>
      </c>
    </row>
    <row r="27" spans="1:28" x14ac:dyDescent="0.3">
      <c r="A27" s="1">
        <v>21</v>
      </c>
      <c r="B27" s="1">
        <v>98161</v>
      </c>
      <c r="C27" s="1" t="s">
        <v>62</v>
      </c>
      <c r="D27" s="1" t="s">
        <v>57</v>
      </c>
      <c r="E27" s="2" t="s">
        <v>40</v>
      </c>
      <c r="F27" s="1">
        <v>1000</v>
      </c>
      <c r="G27" s="1">
        <v>4.71</v>
      </c>
      <c r="H27" s="1">
        <v>95.29</v>
      </c>
      <c r="I27" s="1">
        <v>59.72</v>
      </c>
      <c r="J27" s="1">
        <v>5.22715</v>
      </c>
      <c r="K27" s="1">
        <v>4.7119999999999997</v>
      </c>
      <c r="L27" s="1">
        <v>0</v>
      </c>
      <c r="M27" s="1">
        <v>6.5000000000000002E-2</v>
      </c>
      <c r="N27" s="1">
        <v>4.777E-2</v>
      </c>
      <c r="O27" s="1">
        <v>3.3000000000000002E-2</v>
      </c>
      <c r="P27" s="1">
        <v>4.34</v>
      </c>
      <c r="R27" s="1">
        <f t="shared" si="0"/>
        <v>59720</v>
      </c>
      <c r="S27" s="1">
        <f t="shared" si="1"/>
        <v>5227.1499999999996</v>
      </c>
      <c r="T27" s="1">
        <f t="shared" si="2"/>
        <v>4712</v>
      </c>
      <c r="U27" s="1">
        <f t="shared" si="3"/>
        <v>0</v>
      </c>
      <c r="V27" s="1">
        <f t="shared" si="4"/>
        <v>65</v>
      </c>
      <c r="W27" s="1">
        <f t="shared" si="5"/>
        <v>47.77</v>
      </c>
      <c r="X27" s="1">
        <f t="shared" si="6"/>
        <v>33</v>
      </c>
      <c r="Y27" s="1">
        <f t="shared" si="7"/>
        <v>4340</v>
      </c>
      <c r="AA27" s="1">
        <f t="shared" si="8"/>
        <v>4710</v>
      </c>
      <c r="AB27" s="1">
        <f t="shared" si="9"/>
        <v>95290</v>
      </c>
    </row>
    <row r="28" spans="1:28" hidden="1" x14ac:dyDescent="0.3">
      <c r="A28" s="1">
        <v>22</v>
      </c>
      <c r="B28" s="1">
        <v>98160</v>
      </c>
      <c r="C28" s="1" t="s">
        <v>62</v>
      </c>
      <c r="D28" s="1" t="s">
        <v>57</v>
      </c>
      <c r="E28" s="2" t="s">
        <v>39</v>
      </c>
      <c r="F28" s="1">
        <v>400</v>
      </c>
      <c r="G28" s="1">
        <v>4.5599999999999996</v>
      </c>
      <c r="H28" s="1">
        <v>4.75</v>
      </c>
      <c r="I28" s="1">
        <v>61.23</v>
      </c>
      <c r="J28" s="1">
        <v>4.16357</v>
      </c>
      <c r="K28" s="1">
        <v>3.9489999999999998</v>
      </c>
      <c r="L28" s="1">
        <v>0</v>
      </c>
      <c r="M28" s="1">
        <v>4.5999999999999999E-2</v>
      </c>
      <c r="N28" s="1">
        <v>5.4339999999999999E-2</v>
      </c>
      <c r="O28" s="1">
        <v>7.4999999999999997E-2</v>
      </c>
      <c r="P28" s="1">
        <v>4.0199999999999996</v>
      </c>
      <c r="R28" s="1">
        <f t="shared" si="0"/>
        <v>24492</v>
      </c>
      <c r="S28" s="1">
        <f t="shared" si="1"/>
        <v>1665.4279999999999</v>
      </c>
      <c r="T28" s="1">
        <f t="shared" si="2"/>
        <v>1579.6</v>
      </c>
      <c r="U28" s="1">
        <f t="shared" si="3"/>
        <v>0</v>
      </c>
      <c r="V28" s="1">
        <f t="shared" si="4"/>
        <v>18.399999999999999</v>
      </c>
      <c r="W28" s="1">
        <f t="shared" si="5"/>
        <v>21.736000000000001</v>
      </c>
      <c r="X28" s="1">
        <f t="shared" si="6"/>
        <v>30</v>
      </c>
      <c r="Y28" s="1">
        <f t="shared" si="7"/>
        <v>1607.9999999999998</v>
      </c>
      <c r="AA28" s="1">
        <f t="shared" si="8"/>
        <v>1823.9999999999998</v>
      </c>
      <c r="AB28" s="1">
        <f t="shared" si="9"/>
        <v>1900</v>
      </c>
    </row>
    <row r="29" spans="1:28" x14ac:dyDescent="0.3">
      <c r="A29" s="1">
        <v>23</v>
      </c>
      <c r="B29" s="1">
        <v>96481</v>
      </c>
      <c r="C29" s="1" t="s">
        <v>62</v>
      </c>
      <c r="D29" s="1" t="s">
        <v>54</v>
      </c>
      <c r="E29" s="2" t="s">
        <v>40</v>
      </c>
      <c r="F29" s="2">
        <v>600</v>
      </c>
      <c r="G29" s="2">
        <v>4.8600000000000003</v>
      </c>
      <c r="H29" s="2">
        <v>95.14</v>
      </c>
      <c r="I29" s="1">
        <v>60.7</v>
      </c>
      <c r="J29" s="1">
        <v>4.1956300000000004</v>
      </c>
      <c r="K29" s="1">
        <v>4.1219999999999999</v>
      </c>
      <c r="L29" s="1">
        <v>1.0999999999999999E-2</v>
      </c>
      <c r="M29" s="1">
        <v>5.1999999999999998E-2</v>
      </c>
      <c r="N29" s="1">
        <v>5.6000000000000001E-2</v>
      </c>
      <c r="O29" s="1">
        <v>2.5999999999999999E-2</v>
      </c>
      <c r="P29" s="1">
        <v>4.57</v>
      </c>
      <c r="R29" s="1">
        <f t="shared" ref="R29:R31" si="10">$F29*I29</f>
        <v>36420</v>
      </c>
      <c r="S29" s="1">
        <f t="shared" ref="S29:S31" si="11">$F29*J29</f>
        <v>2517.3780000000002</v>
      </c>
      <c r="T29" s="1">
        <f t="shared" ref="T29:T31" si="12">$F29*K29</f>
        <v>2473.1999999999998</v>
      </c>
      <c r="U29" s="1">
        <f t="shared" ref="U29:U31" si="13">$F29*L29</f>
        <v>6.6</v>
      </c>
      <c r="V29" s="1">
        <f t="shared" ref="V29:V31" si="14">$F29*M29</f>
        <v>31.2</v>
      </c>
      <c r="W29" s="1">
        <f t="shared" ref="W29:W31" si="15">$F29*N29</f>
        <v>33.6</v>
      </c>
      <c r="X29" s="1">
        <f t="shared" ref="X29:X31" si="16">$F29*O29</f>
        <v>15.6</v>
      </c>
      <c r="Y29" s="1">
        <f t="shared" ref="Y29:Y31" si="17">$F29*P29</f>
        <v>2742</v>
      </c>
      <c r="AA29" s="1">
        <f t="shared" si="8"/>
        <v>2916</v>
      </c>
      <c r="AB29" s="1">
        <f t="shared" si="9"/>
        <v>57084</v>
      </c>
    </row>
    <row r="30" spans="1:28" x14ac:dyDescent="0.3">
      <c r="A30" s="1">
        <v>24</v>
      </c>
      <c r="B30" s="1">
        <v>96480</v>
      </c>
      <c r="C30" s="1" t="s">
        <v>62</v>
      </c>
      <c r="D30" s="1" t="s">
        <v>54</v>
      </c>
      <c r="E30" s="2" t="s">
        <v>40</v>
      </c>
      <c r="F30" s="2">
        <v>1000</v>
      </c>
      <c r="G30" s="2">
        <v>4.7699999999999996</v>
      </c>
      <c r="H30" s="2">
        <v>95.23</v>
      </c>
      <c r="I30" s="1">
        <v>60.83</v>
      </c>
      <c r="J30" s="1">
        <v>4.1531000000000002</v>
      </c>
      <c r="K30" s="1">
        <v>3.9209999999999998</v>
      </c>
      <c r="L30" s="1">
        <v>0.17599999999999999</v>
      </c>
      <c r="M30" s="1">
        <v>5.6000000000000001E-2</v>
      </c>
      <c r="N30" s="1">
        <v>5.3870000000000001E-2</v>
      </c>
      <c r="O30" s="1">
        <v>2.5000000000000001E-2</v>
      </c>
      <c r="P30" s="1">
        <v>4.45</v>
      </c>
      <c r="R30" s="1">
        <f t="shared" si="10"/>
        <v>60830</v>
      </c>
      <c r="S30" s="1">
        <f t="shared" si="11"/>
        <v>4153.1000000000004</v>
      </c>
      <c r="T30" s="1">
        <f t="shared" si="12"/>
        <v>3921</v>
      </c>
      <c r="U30" s="1">
        <f t="shared" si="13"/>
        <v>176</v>
      </c>
      <c r="V30" s="1">
        <f t="shared" si="14"/>
        <v>56</v>
      </c>
      <c r="W30" s="1">
        <f t="shared" si="15"/>
        <v>53.870000000000005</v>
      </c>
      <c r="X30" s="1">
        <f t="shared" si="16"/>
        <v>25</v>
      </c>
      <c r="Y30" s="1">
        <f t="shared" si="17"/>
        <v>4450</v>
      </c>
      <c r="AA30" s="1">
        <f t="shared" si="8"/>
        <v>4770</v>
      </c>
      <c r="AB30" s="1">
        <f t="shared" si="9"/>
        <v>95230</v>
      </c>
    </row>
    <row r="31" spans="1:28" hidden="1" x14ac:dyDescent="0.3">
      <c r="A31" s="1">
        <v>25</v>
      </c>
      <c r="B31" s="1">
        <v>96479</v>
      </c>
      <c r="C31" s="1" t="s">
        <v>62</v>
      </c>
      <c r="D31" s="1" t="s">
        <v>54</v>
      </c>
      <c r="E31" s="2" t="s">
        <v>39</v>
      </c>
      <c r="F31" s="2">
        <v>400</v>
      </c>
      <c r="G31" s="2">
        <v>4.28</v>
      </c>
      <c r="H31" s="2">
        <v>4.8099999999999996</v>
      </c>
      <c r="I31" s="1">
        <v>63.47</v>
      </c>
      <c r="J31" s="1">
        <v>2.7975599999999998</v>
      </c>
      <c r="K31" s="1">
        <v>2.6480000000000001</v>
      </c>
      <c r="L31" s="1">
        <v>0</v>
      </c>
      <c r="M31" s="1">
        <v>2.1999999999999999E-2</v>
      </c>
      <c r="N31" s="1">
        <v>5.1959999999999999E-2</v>
      </c>
      <c r="O31" s="1">
        <v>4.3999999999999997E-2</v>
      </c>
      <c r="P31" s="1">
        <v>3.56</v>
      </c>
      <c r="R31" s="1">
        <f t="shared" si="10"/>
        <v>25388</v>
      </c>
      <c r="S31" s="1">
        <f t="shared" si="11"/>
        <v>1119.0239999999999</v>
      </c>
      <c r="T31" s="1">
        <f t="shared" si="12"/>
        <v>1059.2</v>
      </c>
      <c r="U31" s="1">
        <f t="shared" si="13"/>
        <v>0</v>
      </c>
      <c r="V31" s="1">
        <f t="shared" si="14"/>
        <v>8.7999999999999989</v>
      </c>
      <c r="W31" s="1">
        <f t="shared" si="15"/>
        <v>20.783999999999999</v>
      </c>
      <c r="X31" s="1">
        <f t="shared" si="16"/>
        <v>17.599999999999998</v>
      </c>
      <c r="Y31" s="1">
        <f t="shared" si="17"/>
        <v>1424</v>
      </c>
      <c r="AA31" s="1">
        <f t="shared" si="8"/>
        <v>1712</v>
      </c>
      <c r="AB31" s="1">
        <f t="shared" si="9"/>
        <v>1923.9999999999998</v>
      </c>
    </row>
    <row r="32" spans="1:28" hidden="1" x14ac:dyDescent="0.3">
      <c r="A32" s="1">
        <v>26</v>
      </c>
      <c r="B32" s="1">
        <v>96477</v>
      </c>
      <c r="C32" s="1" t="s">
        <v>62</v>
      </c>
      <c r="D32" s="1" t="s">
        <v>48</v>
      </c>
      <c r="E32" s="2" t="s">
        <v>39</v>
      </c>
      <c r="F32" s="2">
        <v>400</v>
      </c>
      <c r="G32" s="2">
        <v>4.58</v>
      </c>
      <c r="H32" s="2">
        <v>4.8499999999999996</v>
      </c>
      <c r="I32" s="1">
        <v>65.11</v>
      </c>
      <c r="J32" s="1">
        <v>1.7095899999999999</v>
      </c>
      <c r="K32" s="1">
        <v>1.7290000000000001</v>
      </c>
      <c r="L32" s="1">
        <v>0</v>
      </c>
      <c r="M32" s="1">
        <v>2.1999999999999999E-2</v>
      </c>
      <c r="N32" s="1">
        <v>5.1549999999999999E-2</v>
      </c>
      <c r="O32" s="1">
        <v>0.01</v>
      </c>
      <c r="P32" s="1">
        <v>3.28</v>
      </c>
      <c r="R32" s="1">
        <f>$F32*I32</f>
        <v>26044</v>
      </c>
      <c r="S32" s="1">
        <f t="shared" ref="S32:S34" si="18">$F32*J32</f>
        <v>683.83600000000001</v>
      </c>
      <c r="T32" s="1">
        <f t="shared" ref="T32:T34" si="19">$F32*K32</f>
        <v>691.6</v>
      </c>
      <c r="U32" s="1">
        <f t="shared" ref="U32:U34" si="20">$F32*L32</f>
        <v>0</v>
      </c>
      <c r="V32" s="1">
        <f t="shared" ref="V32:V34" si="21">$F32*M32</f>
        <v>8.7999999999999989</v>
      </c>
      <c r="W32" s="1">
        <f t="shared" ref="W32:W34" si="22">$F32*N32</f>
        <v>20.62</v>
      </c>
      <c r="X32" s="1">
        <f t="shared" ref="X32:X34" si="23">$F32*O32</f>
        <v>4</v>
      </c>
      <c r="Y32" s="1">
        <f t="shared" ref="Y32:Y34" si="24">$F32*P32</f>
        <v>1312</v>
      </c>
      <c r="AA32" s="1">
        <f t="shared" si="8"/>
        <v>1832</v>
      </c>
      <c r="AB32" s="1">
        <f t="shared" si="9"/>
        <v>1939.9999999999998</v>
      </c>
    </row>
    <row r="33" spans="1:28" x14ac:dyDescent="0.3">
      <c r="A33" s="1">
        <v>27</v>
      </c>
      <c r="B33" s="1">
        <v>96476</v>
      </c>
      <c r="C33" s="1" t="s">
        <v>62</v>
      </c>
      <c r="D33" s="1" t="s">
        <v>49</v>
      </c>
      <c r="E33" s="2" t="s">
        <v>40</v>
      </c>
      <c r="F33" s="2">
        <v>600</v>
      </c>
      <c r="G33" s="2">
        <v>4.7300000000000004</v>
      </c>
      <c r="H33" s="2">
        <v>95.27</v>
      </c>
      <c r="I33" s="1">
        <v>60.33</v>
      </c>
      <c r="J33" s="1">
        <v>4.0436800000000002</v>
      </c>
      <c r="K33" s="1">
        <v>4.3049999999999997</v>
      </c>
      <c r="L33" s="1">
        <v>0</v>
      </c>
      <c r="M33" s="1">
        <v>4.4999999999999998E-2</v>
      </c>
      <c r="N33" s="1">
        <v>6.0659999999999999E-2</v>
      </c>
      <c r="O33" s="1">
        <v>2.1999999999999999E-2</v>
      </c>
      <c r="P33" s="1">
        <v>5.08</v>
      </c>
      <c r="R33" s="1">
        <f>$F$33*I33</f>
        <v>36198</v>
      </c>
      <c r="S33" s="1">
        <f t="shared" si="18"/>
        <v>2426.2080000000001</v>
      </c>
      <c r="T33" s="1">
        <f t="shared" si="19"/>
        <v>2583</v>
      </c>
      <c r="U33" s="1">
        <f t="shared" si="20"/>
        <v>0</v>
      </c>
      <c r="V33" s="1">
        <f t="shared" si="21"/>
        <v>27</v>
      </c>
      <c r="W33" s="1">
        <f t="shared" si="22"/>
        <v>36.396000000000001</v>
      </c>
      <c r="X33" s="1">
        <f t="shared" si="23"/>
        <v>13.2</v>
      </c>
      <c r="Y33" s="1">
        <f t="shared" si="24"/>
        <v>3048</v>
      </c>
      <c r="AA33" s="1">
        <f t="shared" si="8"/>
        <v>2838.0000000000005</v>
      </c>
      <c r="AB33" s="1">
        <f t="shared" si="9"/>
        <v>57162</v>
      </c>
    </row>
    <row r="34" spans="1:28" x14ac:dyDescent="0.3">
      <c r="A34" s="1">
        <v>28</v>
      </c>
      <c r="B34" s="1">
        <v>96475</v>
      </c>
      <c r="C34" s="1" t="s">
        <v>62</v>
      </c>
      <c r="D34" s="1" t="s">
        <v>48</v>
      </c>
      <c r="E34" s="2" t="s">
        <v>40</v>
      </c>
      <c r="F34" s="2">
        <v>1000</v>
      </c>
      <c r="G34" s="2">
        <v>4.68</v>
      </c>
      <c r="H34" s="2">
        <v>95.32</v>
      </c>
      <c r="I34" s="1">
        <v>60.15</v>
      </c>
      <c r="J34" s="1">
        <v>4.03003</v>
      </c>
      <c r="K34" s="1">
        <v>4.4790000000000001</v>
      </c>
      <c r="L34" s="1">
        <v>0</v>
      </c>
      <c r="M34" s="1">
        <v>4.5999999999999999E-2</v>
      </c>
      <c r="N34" s="1">
        <v>6.1269999999999998E-2</v>
      </c>
      <c r="O34" s="1">
        <v>2.1000000000000001E-2</v>
      </c>
      <c r="P34" s="1">
        <v>5.2</v>
      </c>
      <c r="R34" s="1">
        <f>$F$34*I34</f>
        <v>60150</v>
      </c>
      <c r="S34" s="1">
        <f t="shared" si="18"/>
        <v>4030.03</v>
      </c>
      <c r="T34" s="1">
        <f t="shared" si="19"/>
        <v>4479</v>
      </c>
      <c r="U34" s="1">
        <f t="shared" si="20"/>
        <v>0</v>
      </c>
      <c r="V34" s="1">
        <f t="shared" si="21"/>
        <v>46</v>
      </c>
      <c r="W34" s="1">
        <f t="shared" si="22"/>
        <v>61.269999999999996</v>
      </c>
      <c r="X34" s="1">
        <f t="shared" si="23"/>
        <v>21</v>
      </c>
      <c r="Y34" s="1">
        <f t="shared" si="24"/>
        <v>5200</v>
      </c>
      <c r="AA34" s="1">
        <f t="shared" si="8"/>
        <v>4680</v>
      </c>
      <c r="AB34" s="1">
        <f t="shared" si="9"/>
        <v>95320</v>
      </c>
    </row>
    <row r="35" spans="1:28" hidden="1" x14ac:dyDescent="0.3">
      <c r="A35" s="1">
        <v>29</v>
      </c>
      <c r="B35" s="1">
        <v>96452</v>
      </c>
      <c r="C35" s="1" t="s">
        <v>62</v>
      </c>
      <c r="D35" s="1" t="s">
        <v>55</v>
      </c>
      <c r="E35" s="2" t="s">
        <v>39</v>
      </c>
      <c r="F35" s="2">
        <v>360</v>
      </c>
      <c r="G35" s="2">
        <v>4.43</v>
      </c>
      <c r="H35" s="2">
        <v>4.82</v>
      </c>
      <c r="I35" s="1">
        <v>63.36</v>
      </c>
      <c r="J35" s="1">
        <v>2.4539300000000002</v>
      </c>
      <c r="K35" s="1">
        <v>2.4670000000000001</v>
      </c>
      <c r="L35" s="1">
        <v>0</v>
      </c>
      <c r="M35" s="1">
        <v>2.5999999999999999E-2</v>
      </c>
      <c r="N35" s="1">
        <v>6.2080000000000003E-2</v>
      </c>
      <c r="O35" s="1">
        <v>1.0999999999999999E-2</v>
      </c>
      <c r="P35" s="1">
        <v>4.22</v>
      </c>
      <c r="R35" s="1">
        <f>$F$35*I35</f>
        <v>22809.599999999999</v>
      </c>
      <c r="S35" s="1">
        <f t="shared" ref="S35:Y35" si="25">$F35*J35</f>
        <v>883.41480000000001</v>
      </c>
      <c r="T35" s="1">
        <f t="shared" si="25"/>
        <v>888.12</v>
      </c>
      <c r="U35" s="1">
        <f t="shared" si="25"/>
        <v>0</v>
      </c>
      <c r="V35" s="1">
        <f t="shared" si="25"/>
        <v>9.36</v>
      </c>
      <c r="W35" s="1">
        <f t="shared" si="25"/>
        <v>22.348800000000001</v>
      </c>
      <c r="X35" s="1">
        <f t="shared" si="25"/>
        <v>3.96</v>
      </c>
      <c r="Y35" s="1">
        <f t="shared" si="25"/>
        <v>1519.1999999999998</v>
      </c>
      <c r="AA35" s="1">
        <f t="shared" si="8"/>
        <v>1594.8</v>
      </c>
      <c r="AB35" s="1">
        <f t="shared" si="9"/>
        <v>1735.2</v>
      </c>
    </row>
    <row r="36" spans="1:28" x14ac:dyDescent="0.3">
      <c r="A36" s="1">
        <v>30</v>
      </c>
      <c r="B36" s="1">
        <v>96451</v>
      </c>
      <c r="C36" s="1" t="s">
        <v>62</v>
      </c>
      <c r="D36" s="1" t="s">
        <v>55</v>
      </c>
      <c r="E36" s="2" t="s">
        <v>40</v>
      </c>
      <c r="F36" s="2">
        <v>1440</v>
      </c>
      <c r="G36" s="2">
        <v>4.8</v>
      </c>
      <c r="H36" s="2">
        <v>95.2</v>
      </c>
      <c r="I36" s="1">
        <v>58.34</v>
      </c>
      <c r="J36" s="1">
        <v>5.75115</v>
      </c>
      <c r="K36" s="1">
        <v>5.0179999999999998</v>
      </c>
      <c r="L36" s="1">
        <v>0</v>
      </c>
      <c r="M36" s="1">
        <v>7.8E-2</v>
      </c>
      <c r="N36" s="1">
        <v>5.9959999999999999E-2</v>
      </c>
      <c r="O36" s="1">
        <v>5.7000000000000002E-2</v>
      </c>
      <c r="P36" s="1">
        <v>5.34</v>
      </c>
      <c r="R36" s="1">
        <f t="shared" ref="R36:R57" si="26">$F36*I36</f>
        <v>84009.600000000006</v>
      </c>
      <c r="S36" s="1">
        <f>$F36*J36</f>
        <v>8281.6560000000009</v>
      </c>
      <c r="T36" s="1">
        <f t="shared" ref="T36:T57" si="27">$F36*K36</f>
        <v>7225.92</v>
      </c>
      <c r="U36" s="1">
        <f t="shared" ref="U36:U57" si="28">$F36*L36</f>
        <v>0</v>
      </c>
      <c r="V36" s="1">
        <f t="shared" ref="V36:V57" si="29">$F36*M36</f>
        <v>112.32</v>
      </c>
      <c r="W36" s="1">
        <f t="shared" ref="W36:W57" si="30">$F36*N36</f>
        <v>86.342399999999998</v>
      </c>
      <c r="X36" s="1">
        <f t="shared" ref="X36:X57" si="31">$F36*O36</f>
        <v>82.08</v>
      </c>
      <c r="Y36" s="1">
        <f t="shared" ref="Y36:Y57" si="32">$F36*P36</f>
        <v>7689.5999999999995</v>
      </c>
      <c r="AA36" s="1">
        <f t="shared" si="8"/>
        <v>6912</v>
      </c>
      <c r="AB36" s="1">
        <f t="shared" si="9"/>
        <v>137088</v>
      </c>
    </row>
    <row r="37" spans="1:28" x14ac:dyDescent="0.3">
      <c r="A37" s="1">
        <v>31</v>
      </c>
      <c r="B37" s="1">
        <v>96488</v>
      </c>
      <c r="C37" s="1" t="s">
        <v>62</v>
      </c>
      <c r="D37" s="1" t="s">
        <v>56</v>
      </c>
      <c r="E37" s="1" t="s">
        <v>40</v>
      </c>
      <c r="F37" s="1">
        <v>600</v>
      </c>
      <c r="G37" s="1">
        <v>4.8600000000000003</v>
      </c>
      <c r="H37" s="1">
        <v>95.14</v>
      </c>
      <c r="I37" s="1">
        <v>62.81</v>
      </c>
      <c r="J37" s="1">
        <v>2.8549199999999999</v>
      </c>
      <c r="K37" s="1">
        <v>3.153</v>
      </c>
      <c r="L37" s="1">
        <v>8.9999999999999993E-3</v>
      </c>
      <c r="M37" s="1">
        <v>3.1E-2</v>
      </c>
      <c r="N37" s="1">
        <v>5.4679999999999999E-2</v>
      </c>
      <c r="O37" s="1">
        <v>2.8000000000000001E-2</v>
      </c>
      <c r="P37" s="1">
        <v>3.92</v>
      </c>
      <c r="R37" s="1">
        <f t="shared" si="26"/>
        <v>37686</v>
      </c>
      <c r="S37" s="1">
        <f t="shared" ref="S37:S57" si="33">$F37*J37</f>
        <v>1712.952</v>
      </c>
      <c r="T37" s="1">
        <f t="shared" si="27"/>
        <v>1891.8</v>
      </c>
      <c r="U37" s="1">
        <f t="shared" si="28"/>
        <v>5.3999999999999995</v>
      </c>
      <c r="V37" s="1">
        <f t="shared" si="29"/>
        <v>18.600000000000001</v>
      </c>
      <c r="W37" s="1">
        <f t="shared" si="30"/>
        <v>32.808</v>
      </c>
      <c r="X37" s="1">
        <f t="shared" si="31"/>
        <v>16.8</v>
      </c>
      <c r="Y37" s="1">
        <f t="shared" si="32"/>
        <v>2352</v>
      </c>
      <c r="AA37" s="1">
        <f t="shared" si="8"/>
        <v>2916</v>
      </c>
      <c r="AB37" s="1">
        <f t="shared" si="9"/>
        <v>57084</v>
      </c>
    </row>
    <row r="38" spans="1:28" x14ac:dyDescent="0.3">
      <c r="A38" s="1">
        <v>32</v>
      </c>
      <c r="B38" s="1">
        <v>96487</v>
      </c>
      <c r="C38" s="1" t="s">
        <v>62</v>
      </c>
      <c r="D38" s="1" t="s">
        <v>56</v>
      </c>
      <c r="E38" s="1" t="s">
        <v>40</v>
      </c>
      <c r="F38" s="1">
        <v>1000</v>
      </c>
      <c r="G38" s="1">
        <v>4.8499999999999996</v>
      </c>
      <c r="H38" s="1">
        <v>95.15</v>
      </c>
      <c r="I38" s="1">
        <v>62.85</v>
      </c>
      <c r="J38" s="1">
        <v>2.7984499999999999</v>
      </c>
      <c r="K38" s="1">
        <v>3.1059999999999999</v>
      </c>
      <c r="L38" s="1">
        <v>0</v>
      </c>
      <c r="M38" s="1">
        <v>2.5999999999999999E-2</v>
      </c>
      <c r="N38" s="1">
        <v>5.4730000000000001E-2</v>
      </c>
      <c r="O38" s="1">
        <v>2.5000000000000001E-2</v>
      </c>
      <c r="P38" s="1">
        <v>3.99</v>
      </c>
      <c r="R38" s="1">
        <f t="shared" si="26"/>
        <v>62850</v>
      </c>
      <c r="S38" s="1">
        <f t="shared" si="33"/>
        <v>2798.45</v>
      </c>
      <c r="T38" s="1">
        <f t="shared" si="27"/>
        <v>3106</v>
      </c>
      <c r="U38" s="1">
        <f t="shared" si="28"/>
        <v>0</v>
      </c>
      <c r="V38" s="1">
        <f t="shared" si="29"/>
        <v>26</v>
      </c>
      <c r="W38" s="1">
        <f t="shared" si="30"/>
        <v>54.730000000000004</v>
      </c>
      <c r="X38" s="1">
        <f t="shared" si="31"/>
        <v>25</v>
      </c>
      <c r="Y38" s="1">
        <f t="shared" si="32"/>
        <v>3990</v>
      </c>
      <c r="AA38" s="1">
        <f t="shared" si="8"/>
        <v>4850</v>
      </c>
      <c r="AB38" s="1">
        <f t="shared" si="9"/>
        <v>95150</v>
      </c>
    </row>
    <row r="39" spans="1:28" hidden="1" x14ac:dyDescent="0.3">
      <c r="A39" s="1">
        <v>33</v>
      </c>
      <c r="B39" s="1">
        <v>96486</v>
      </c>
      <c r="C39" s="1" t="s">
        <v>62</v>
      </c>
      <c r="D39" s="1" t="s">
        <v>56</v>
      </c>
      <c r="E39" s="1" t="s">
        <v>39</v>
      </c>
      <c r="F39" s="1">
        <v>400</v>
      </c>
      <c r="G39" s="1">
        <v>4.75</v>
      </c>
      <c r="H39" s="1">
        <v>4.87</v>
      </c>
      <c r="I39" s="1">
        <v>64.38</v>
      </c>
      <c r="J39" s="1">
        <v>2.4208799999999999</v>
      </c>
      <c r="K39" s="1">
        <v>1.849</v>
      </c>
      <c r="L39" s="1">
        <v>0.01</v>
      </c>
      <c r="M39" s="1">
        <v>0.02</v>
      </c>
      <c r="N39" s="1">
        <v>5.126E-2</v>
      </c>
      <c r="O39" s="1">
        <v>1.0999999999999999E-2</v>
      </c>
      <c r="P39" s="1">
        <v>3.4</v>
      </c>
      <c r="R39" s="1">
        <f t="shared" si="26"/>
        <v>25752</v>
      </c>
      <c r="S39" s="1">
        <f t="shared" si="33"/>
        <v>968.35199999999998</v>
      </c>
      <c r="T39" s="1">
        <f t="shared" si="27"/>
        <v>739.6</v>
      </c>
      <c r="U39" s="1">
        <f t="shared" si="28"/>
        <v>4</v>
      </c>
      <c r="V39" s="1">
        <f t="shared" si="29"/>
        <v>8</v>
      </c>
      <c r="W39" s="1">
        <f t="shared" si="30"/>
        <v>20.504000000000001</v>
      </c>
      <c r="X39" s="1">
        <f t="shared" si="31"/>
        <v>4.3999999999999995</v>
      </c>
      <c r="Y39" s="1">
        <f t="shared" si="32"/>
        <v>1360</v>
      </c>
      <c r="AA39" s="1">
        <f t="shared" si="8"/>
        <v>1900</v>
      </c>
      <c r="AB39" s="1">
        <f t="shared" si="9"/>
        <v>1948</v>
      </c>
    </row>
    <row r="40" spans="1:28" x14ac:dyDescent="0.3">
      <c r="A40" s="1">
        <v>34</v>
      </c>
      <c r="B40" s="1">
        <v>96491</v>
      </c>
      <c r="C40" s="1" t="s">
        <v>62</v>
      </c>
      <c r="D40" s="1" t="s">
        <v>57</v>
      </c>
      <c r="E40" s="1" t="s">
        <v>40</v>
      </c>
      <c r="F40" s="1">
        <v>1000</v>
      </c>
      <c r="G40" s="1">
        <v>4.78</v>
      </c>
      <c r="H40" s="1">
        <v>95.22</v>
      </c>
      <c r="I40" s="1">
        <v>62.82</v>
      </c>
      <c r="J40" s="1">
        <v>2.9337300000000002</v>
      </c>
      <c r="K40" s="1">
        <v>2.9830000000000001</v>
      </c>
      <c r="L40" s="1">
        <v>6.0000000000000001E-3</v>
      </c>
      <c r="M40" s="1">
        <v>2.8000000000000001E-2</v>
      </c>
      <c r="N40" s="1">
        <v>5.484E-2</v>
      </c>
      <c r="O40" s="1">
        <v>0.03</v>
      </c>
      <c r="P40" s="1">
        <v>4.0199999999999996</v>
      </c>
      <c r="R40" s="1">
        <f t="shared" si="26"/>
        <v>62820</v>
      </c>
      <c r="S40" s="1">
        <f t="shared" si="33"/>
        <v>2933.73</v>
      </c>
      <c r="T40" s="1">
        <f t="shared" si="27"/>
        <v>2983</v>
      </c>
      <c r="U40" s="1">
        <f t="shared" si="28"/>
        <v>6</v>
      </c>
      <c r="V40" s="1">
        <f t="shared" si="29"/>
        <v>28</v>
      </c>
      <c r="W40" s="1">
        <f t="shared" si="30"/>
        <v>54.84</v>
      </c>
      <c r="X40" s="1">
        <f t="shared" si="31"/>
        <v>30</v>
      </c>
      <c r="Y40" s="1">
        <f t="shared" si="32"/>
        <v>4019.9999999999995</v>
      </c>
      <c r="AA40" s="1">
        <f t="shared" si="8"/>
        <v>4780</v>
      </c>
      <c r="AB40" s="1">
        <f t="shared" si="9"/>
        <v>95220</v>
      </c>
    </row>
    <row r="41" spans="1:28" x14ac:dyDescent="0.3">
      <c r="A41" s="1">
        <v>35</v>
      </c>
      <c r="B41" s="1">
        <v>96490</v>
      </c>
      <c r="C41" s="1" t="s">
        <v>62</v>
      </c>
      <c r="D41" s="1" t="s">
        <v>56</v>
      </c>
      <c r="E41" s="1" t="s">
        <v>40</v>
      </c>
      <c r="F41" s="1">
        <v>1000</v>
      </c>
      <c r="G41" s="1">
        <v>4.6399999999999997</v>
      </c>
      <c r="H41" s="1">
        <v>95.36</v>
      </c>
      <c r="I41" s="1">
        <v>62.86</v>
      </c>
      <c r="J41" s="1">
        <v>2.9352100000000001</v>
      </c>
      <c r="K41" s="1">
        <v>3.0470000000000002</v>
      </c>
      <c r="L41" s="1">
        <v>0</v>
      </c>
      <c r="M41" s="1">
        <v>3.1E-2</v>
      </c>
      <c r="N41" s="1">
        <v>5.4640000000000001E-2</v>
      </c>
      <c r="O41" s="1">
        <v>2.4E-2</v>
      </c>
      <c r="P41" s="1">
        <v>3.9</v>
      </c>
      <c r="R41" s="1">
        <f t="shared" si="26"/>
        <v>62860</v>
      </c>
      <c r="S41" s="1">
        <f t="shared" si="33"/>
        <v>2935.21</v>
      </c>
      <c r="T41" s="1">
        <f t="shared" si="27"/>
        <v>3047</v>
      </c>
      <c r="U41" s="1">
        <f t="shared" si="28"/>
        <v>0</v>
      </c>
      <c r="V41" s="1">
        <f t="shared" si="29"/>
        <v>31</v>
      </c>
      <c r="W41" s="1">
        <f t="shared" si="30"/>
        <v>54.64</v>
      </c>
      <c r="X41" s="1">
        <f t="shared" si="31"/>
        <v>24</v>
      </c>
      <c r="Y41" s="1">
        <f t="shared" si="32"/>
        <v>3900</v>
      </c>
      <c r="AA41" s="1">
        <f t="shared" si="8"/>
        <v>4640</v>
      </c>
      <c r="AB41" s="1">
        <f t="shared" si="9"/>
        <v>95360</v>
      </c>
    </row>
    <row r="42" spans="1:28" hidden="1" x14ac:dyDescent="0.3">
      <c r="A42" s="1">
        <v>36</v>
      </c>
      <c r="B42" s="1">
        <v>96489</v>
      </c>
      <c r="C42" s="1" t="s">
        <v>62</v>
      </c>
      <c r="D42" s="1" t="s">
        <v>57</v>
      </c>
      <c r="E42" s="1" t="s">
        <v>39</v>
      </c>
      <c r="F42" s="1">
        <v>500</v>
      </c>
      <c r="G42" s="1">
        <v>4.67</v>
      </c>
      <c r="H42" s="1">
        <v>4.87</v>
      </c>
      <c r="I42" s="1">
        <v>63.46</v>
      </c>
      <c r="J42" s="1">
        <v>2.13287</v>
      </c>
      <c r="K42" s="1">
        <v>2.7050000000000001</v>
      </c>
      <c r="L42" s="1">
        <v>0</v>
      </c>
      <c r="M42" s="1">
        <v>1.6E-2</v>
      </c>
      <c r="N42" s="1">
        <v>6.3780000000000003E-2</v>
      </c>
      <c r="O42" s="1">
        <v>1.0999999999999999E-2</v>
      </c>
      <c r="P42" s="1">
        <v>4.21</v>
      </c>
      <c r="R42" s="1">
        <f t="shared" si="26"/>
        <v>31730</v>
      </c>
      <c r="S42" s="1">
        <f t="shared" si="33"/>
        <v>1066.4349999999999</v>
      </c>
      <c r="T42" s="1">
        <f t="shared" si="27"/>
        <v>1352.5</v>
      </c>
      <c r="U42" s="1">
        <f t="shared" si="28"/>
        <v>0</v>
      </c>
      <c r="V42" s="1">
        <f t="shared" si="29"/>
        <v>8</v>
      </c>
      <c r="W42" s="1">
        <f t="shared" si="30"/>
        <v>31.89</v>
      </c>
      <c r="X42" s="1">
        <f t="shared" si="31"/>
        <v>5.5</v>
      </c>
      <c r="Y42" s="1">
        <f t="shared" si="32"/>
        <v>2105</v>
      </c>
      <c r="AA42" s="1">
        <f t="shared" si="8"/>
        <v>2335</v>
      </c>
      <c r="AB42" s="1">
        <f t="shared" si="9"/>
        <v>2435</v>
      </c>
    </row>
    <row r="43" spans="1:28" x14ac:dyDescent="0.3">
      <c r="A43" s="1">
        <v>37</v>
      </c>
      <c r="B43" s="1">
        <v>96496</v>
      </c>
      <c r="C43" s="1" t="s">
        <v>14</v>
      </c>
      <c r="D43" s="1" t="s">
        <v>58</v>
      </c>
      <c r="E43" s="1" t="s">
        <v>40</v>
      </c>
      <c r="F43" s="1">
        <v>1000</v>
      </c>
      <c r="G43" s="1">
        <v>4.91</v>
      </c>
      <c r="H43" s="1">
        <v>95.09</v>
      </c>
      <c r="I43" s="1">
        <v>58.73</v>
      </c>
      <c r="J43" s="1">
        <v>4.2869299999999999</v>
      </c>
      <c r="K43" s="1">
        <v>5.0549999999999997</v>
      </c>
      <c r="L43" s="1">
        <v>0</v>
      </c>
      <c r="M43" s="1">
        <v>0.05</v>
      </c>
      <c r="N43" s="1">
        <v>7.5730000000000006E-2</v>
      </c>
      <c r="O43" s="1">
        <v>1.9E-2</v>
      </c>
      <c r="P43" s="1">
        <v>6.31</v>
      </c>
      <c r="R43" s="1">
        <f t="shared" si="26"/>
        <v>58730</v>
      </c>
      <c r="S43" s="1">
        <f t="shared" si="33"/>
        <v>4286.93</v>
      </c>
      <c r="T43" s="1">
        <f t="shared" si="27"/>
        <v>5055</v>
      </c>
      <c r="U43" s="1">
        <f t="shared" si="28"/>
        <v>0</v>
      </c>
      <c r="V43" s="1">
        <f t="shared" si="29"/>
        <v>50</v>
      </c>
      <c r="W43" s="1">
        <f t="shared" si="30"/>
        <v>75.73</v>
      </c>
      <c r="X43" s="1">
        <f t="shared" si="31"/>
        <v>19</v>
      </c>
      <c r="Y43" s="1">
        <f t="shared" si="32"/>
        <v>6310</v>
      </c>
      <c r="AA43" s="1">
        <f t="shared" si="8"/>
        <v>4910</v>
      </c>
      <c r="AB43" s="1">
        <f t="shared" si="9"/>
        <v>95090</v>
      </c>
    </row>
    <row r="44" spans="1:28" x14ac:dyDescent="0.3">
      <c r="A44" s="1">
        <v>38</v>
      </c>
      <c r="B44" s="1">
        <v>96495</v>
      </c>
      <c r="C44" s="1" t="s">
        <v>14</v>
      </c>
      <c r="D44" s="1" t="s">
        <v>59</v>
      </c>
      <c r="E44" s="1" t="s">
        <v>40</v>
      </c>
      <c r="F44" s="1">
        <v>1000</v>
      </c>
      <c r="G44" s="1">
        <v>4.8499999999999996</v>
      </c>
      <c r="H44" s="1">
        <v>95.15</v>
      </c>
      <c r="I44" s="1">
        <v>58.69</v>
      </c>
      <c r="J44" s="1">
        <v>4.3323099999999997</v>
      </c>
      <c r="K44" s="1">
        <v>5.0229999999999997</v>
      </c>
      <c r="L44" s="1">
        <v>1.0999999999999999E-2</v>
      </c>
      <c r="M44" s="1">
        <v>5.2999999999999999E-2</v>
      </c>
      <c r="N44" s="1">
        <v>7.3410000000000003E-2</v>
      </c>
      <c r="O44" s="1">
        <v>1.7000000000000001E-2</v>
      </c>
      <c r="P44" s="1">
        <v>6.34</v>
      </c>
      <c r="R44" s="1">
        <f t="shared" si="26"/>
        <v>58690</v>
      </c>
      <c r="S44" s="1">
        <f t="shared" si="33"/>
        <v>4332.3099999999995</v>
      </c>
      <c r="T44" s="1">
        <f t="shared" si="27"/>
        <v>5023</v>
      </c>
      <c r="U44" s="1">
        <f t="shared" si="28"/>
        <v>11</v>
      </c>
      <c r="V44" s="1">
        <f t="shared" si="29"/>
        <v>53</v>
      </c>
      <c r="W44" s="1">
        <f t="shared" si="30"/>
        <v>73.41</v>
      </c>
      <c r="X44" s="1">
        <f t="shared" si="31"/>
        <v>17</v>
      </c>
      <c r="Y44" s="1">
        <f t="shared" si="32"/>
        <v>6340</v>
      </c>
      <c r="AA44" s="1">
        <f t="shared" si="8"/>
        <v>4850</v>
      </c>
      <c r="AB44" s="1">
        <f t="shared" si="9"/>
        <v>95150</v>
      </c>
    </row>
    <row r="45" spans="1:28" hidden="1" x14ac:dyDescent="0.3">
      <c r="A45" s="1">
        <v>39</v>
      </c>
      <c r="B45" s="1">
        <v>96494</v>
      </c>
      <c r="C45" s="1" t="s">
        <v>14</v>
      </c>
      <c r="D45" s="1" t="s">
        <v>49</v>
      </c>
      <c r="E45" s="1" t="s">
        <v>39</v>
      </c>
      <c r="F45" s="1">
        <v>500</v>
      </c>
      <c r="G45" s="1">
        <v>3.25</v>
      </c>
      <c r="H45" s="1">
        <v>4.8600000000000003</v>
      </c>
      <c r="I45" s="1">
        <v>61.63</v>
      </c>
      <c r="J45" s="1">
        <v>2.7192099999999999</v>
      </c>
      <c r="K45" s="1">
        <v>3.53</v>
      </c>
      <c r="L45" s="1">
        <v>0</v>
      </c>
      <c r="M45" s="1">
        <v>1.9E-2</v>
      </c>
      <c r="N45" s="1">
        <v>7.0239999999999997E-2</v>
      </c>
      <c r="O45" s="1">
        <v>1.4999999999999999E-2</v>
      </c>
      <c r="P45" s="1">
        <v>5.39</v>
      </c>
      <c r="R45" s="1">
        <f t="shared" si="26"/>
        <v>30815</v>
      </c>
      <c r="S45" s="1">
        <f t="shared" si="33"/>
        <v>1359.605</v>
      </c>
      <c r="T45" s="1">
        <f t="shared" si="27"/>
        <v>1765</v>
      </c>
      <c r="U45" s="1">
        <f t="shared" si="28"/>
        <v>0</v>
      </c>
      <c r="V45" s="1">
        <f t="shared" si="29"/>
        <v>9.5</v>
      </c>
      <c r="W45" s="1">
        <f t="shared" si="30"/>
        <v>35.119999999999997</v>
      </c>
      <c r="X45" s="1">
        <f t="shared" si="31"/>
        <v>7.5</v>
      </c>
      <c r="Y45" s="1">
        <f t="shared" si="32"/>
        <v>2695</v>
      </c>
      <c r="AA45" s="1">
        <f t="shared" si="8"/>
        <v>1625</v>
      </c>
      <c r="AB45" s="1">
        <f t="shared" si="9"/>
        <v>2430</v>
      </c>
    </row>
    <row r="46" spans="1:28" x14ac:dyDescent="0.3">
      <c r="A46" s="1">
        <v>40</v>
      </c>
      <c r="B46" s="1">
        <v>96499</v>
      </c>
      <c r="C46" s="1" t="s">
        <v>62</v>
      </c>
      <c r="D46" s="1" t="s">
        <v>58</v>
      </c>
      <c r="E46" s="1" t="s">
        <v>40</v>
      </c>
      <c r="F46" s="1">
        <v>760</v>
      </c>
      <c r="G46" s="1">
        <v>4.5599999999999996</v>
      </c>
      <c r="H46" s="1">
        <v>95.44</v>
      </c>
      <c r="I46" s="1">
        <v>60.19</v>
      </c>
      <c r="J46" s="1">
        <v>4.6030600000000002</v>
      </c>
      <c r="K46" s="1">
        <v>4.5789999999999997</v>
      </c>
      <c r="L46" s="1">
        <v>0</v>
      </c>
      <c r="M46" s="1">
        <v>4.9000000000000002E-2</v>
      </c>
      <c r="N46" s="1">
        <v>5.219E-2</v>
      </c>
      <c r="O46" s="1">
        <v>2.1000000000000001E-2</v>
      </c>
      <c r="P46" s="1">
        <v>4.4800000000000004</v>
      </c>
      <c r="R46" s="1">
        <f t="shared" si="26"/>
        <v>45744.4</v>
      </c>
      <c r="S46" s="1">
        <f t="shared" si="33"/>
        <v>3498.3256000000001</v>
      </c>
      <c r="T46" s="1">
        <f t="shared" si="27"/>
        <v>3480.04</v>
      </c>
      <c r="U46" s="1">
        <f t="shared" si="28"/>
        <v>0</v>
      </c>
      <c r="V46" s="1">
        <f t="shared" si="29"/>
        <v>37.24</v>
      </c>
      <c r="W46" s="1">
        <f t="shared" si="30"/>
        <v>39.664400000000001</v>
      </c>
      <c r="X46" s="1">
        <f t="shared" si="31"/>
        <v>15.96</v>
      </c>
      <c r="Y46" s="1">
        <f t="shared" si="32"/>
        <v>3404.8</v>
      </c>
      <c r="AA46" s="1">
        <f t="shared" si="8"/>
        <v>3465.6</v>
      </c>
      <c r="AB46" s="1">
        <f t="shared" si="9"/>
        <v>72534.399999999994</v>
      </c>
    </row>
    <row r="47" spans="1:28" x14ac:dyDescent="0.3">
      <c r="A47" s="1">
        <v>41</v>
      </c>
      <c r="B47" s="1">
        <v>96498</v>
      </c>
      <c r="C47" s="1" t="s">
        <v>62</v>
      </c>
      <c r="D47" s="1" t="s">
        <v>48</v>
      </c>
      <c r="E47" s="1" t="s">
        <v>40</v>
      </c>
      <c r="F47" s="1">
        <v>1000</v>
      </c>
      <c r="G47" s="1">
        <v>4.7300000000000004</v>
      </c>
      <c r="H47" s="1">
        <v>95.27</v>
      </c>
      <c r="I47" s="1">
        <v>60.41</v>
      </c>
      <c r="J47" s="1">
        <v>5.2419500000000001</v>
      </c>
      <c r="K47" s="1">
        <v>3.9780000000000002</v>
      </c>
      <c r="L47" s="1">
        <v>0</v>
      </c>
      <c r="M47" s="1">
        <v>4.7E-2</v>
      </c>
      <c r="N47" s="1">
        <v>4.9750000000000003E-2</v>
      </c>
      <c r="O47" s="1">
        <v>0.51500000000000001</v>
      </c>
      <c r="P47" s="1">
        <v>3.61</v>
      </c>
      <c r="R47" s="1">
        <f t="shared" si="26"/>
        <v>60410</v>
      </c>
      <c r="S47" s="1">
        <f t="shared" si="33"/>
        <v>5241.95</v>
      </c>
      <c r="T47" s="1">
        <f t="shared" si="27"/>
        <v>3978</v>
      </c>
      <c r="U47" s="1">
        <f t="shared" si="28"/>
        <v>0</v>
      </c>
      <c r="V47" s="1">
        <f t="shared" si="29"/>
        <v>47</v>
      </c>
      <c r="W47" s="1">
        <f t="shared" si="30"/>
        <v>49.75</v>
      </c>
      <c r="X47" s="1">
        <f t="shared" si="31"/>
        <v>515</v>
      </c>
      <c r="Y47" s="1">
        <f t="shared" si="32"/>
        <v>3610</v>
      </c>
      <c r="AA47" s="1">
        <f t="shared" si="8"/>
        <v>4730</v>
      </c>
      <c r="AB47" s="1">
        <f t="shared" si="9"/>
        <v>95270</v>
      </c>
    </row>
    <row r="48" spans="1:28" hidden="1" x14ac:dyDescent="0.3">
      <c r="A48" s="1">
        <v>42</v>
      </c>
      <c r="B48" s="1">
        <v>96497</v>
      </c>
      <c r="C48" s="1" t="s">
        <v>62</v>
      </c>
      <c r="D48" s="1" t="s">
        <v>48</v>
      </c>
      <c r="E48" s="1" t="s">
        <v>39</v>
      </c>
      <c r="F48" s="1">
        <v>440</v>
      </c>
      <c r="G48" s="1">
        <v>4.4000000000000004</v>
      </c>
      <c r="H48" s="1">
        <v>4.83</v>
      </c>
      <c r="I48" s="1">
        <v>63.08</v>
      </c>
      <c r="J48" s="1">
        <v>3.1423899999999998</v>
      </c>
      <c r="K48" s="1">
        <v>3.165</v>
      </c>
      <c r="L48" s="1">
        <v>3.2000000000000001E-2</v>
      </c>
      <c r="M48" s="1">
        <v>2.4E-2</v>
      </c>
      <c r="N48" s="1">
        <v>3.9730000000000001E-2</v>
      </c>
      <c r="O48" s="1">
        <v>6.0000000000000001E-3</v>
      </c>
      <c r="P48" s="1">
        <v>3.3</v>
      </c>
      <c r="R48" s="1">
        <f t="shared" si="26"/>
        <v>27755.200000000001</v>
      </c>
      <c r="S48" s="1">
        <f t="shared" si="33"/>
        <v>1382.6515999999999</v>
      </c>
      <c r="T48" s="1">
        <f t="shared" si="27"/>
        <v>1392.6</v>
      </c>
      <c r="U48" s="1">
        <f t="shared" si="28"/>
        <v>14.08</v>
      </c>
      <c r="V48" s="1">
        <f t="shared" si="29"/>
        <v>10.56</v>
      </c>
      <c r="W48" s="1">
        <f t="shared" si="30"/>
        <v>17.481200000000001</v>
      </c>
      <c r="X48" s="1">
        <f t="shared" si="31"/>
        <v>2.64</v>
      </c>
      <c r="Y48" s="1">
        <f t="shared" si="32"/>
        <v>1452</v>
      </c>
      <c r="AA48" s="1">
        <f t="shared" si="8"/>
        <v>1936.0000000000002</v>
      </c>
      <c r="AB48" s="1">
        <f t="shared" si="9"/>
        <v>2125.1999999999998</v>
      </c>
    </row>
    <row r="49" spans="1:28" x14ac:dyDescent="0.3">
      <c r="A49" s="1">
        <v>43</v>
      </c>
      <c r="B49" s="1">
        <v>91346</v>
      </c>
      <c r="C49" s="1" t="s">
        <v>62</v>
      </c>
      <c r="D49" s="1" t="s">
        <v>60</v>
      </c>
      <c r="E49" s="1" t="s">
        <v>40</v>
      </c>
      <c r="F49" s="1">
        <v>600</v>
      </c>
      <c r="G49" s="1">
        <v>4.8099999999999996</v>
      </c>
      <c r="H49" s="1">
        <v>95.19</v>
      </c>
      <c r="I49" s="1">
        <v>58.53</v>
      </c>
      <c r="J49" s="1">
        <v>4.7370099999999997</v>
      </c>
      <c r="K49" s="1">
        <v>5.2919999999999998</v>
      </c>
      <c r="L49" s="1">
        <v>0</v>
      </c>
      <c r="M49" s="1">
        <v>5.0999999999999997E-2</v>
      </c>
      <c r="N49" s="1">
        <v>6.6409999999999997E-2</v>
      </c>
      <c r="O49" s="1">
        <v>1.7999999999999999E-2</v>
      </c>
      <c r="P49" s="1">
        <v>5.98</v>
      </c>
      <c r="R49" s="1">
        <f t="shared" si="26"/>
        <v>35118</v>
      </c>
      <c r="S49" s="1">
        <f t="shared" si="33"/>
        <v>2842.2059999999997</v>
      </c>
      <c r="T49" s="1">
        <f t="shared" si="27"/>
        <v>3175.2</v>
      </c>
      <c r="U49" s="1">
        <f t="shared" si="28"/>
        <v>0</v>
      </c>
      <c r="V49" s="1">
        <f t="shared" si="29"/>
        <v>30.599999999999998</v>
      </c>
      <c r="W49" s="1">
        <f t="shared" si="30"/>
        <v>39.845999999999997</v>
      </c>
      <c r="X49" s="1">
        <f t="shared" si="31"/>
        <v>10.799999999999999</v>
      </c>
      <c r="Y49" s="1">
        <f t="shared" si="32"/>
        <v>3588.0000000000005</v>
      </c>
      <c r="AA49" s="1">
        <f t="shared" si="8"/>
        <v>2885.9999999999995</v>
      </c>
      <c r="AB49" s="1">
        <f t="shared" si="9"/>
        <v>57114</v>
      </c>
    </row>
    <row r="50" spans="1:28" x14ac:dyDescent="0.3">
      <c r="A50" s="1">
        <v>44</v>
      </c>
      <c r="B50" s="1">
        <v>91345</v>
      </c>
      <c r="C50" s="1" t="s">
        <v>62</v>
      </c>
      <c r="D50" s="1" t="s">
        <v>48</v>
      </c>
      <c r="E50" s="1" t="s">
        <v>40</v>
      </c>
      <c r="F50" s="1">
        <v>1000</v>
      </c>
      <c r="G50" s="1">
        <v>4.7699999999999996</v>
      </c>
      <c r="H50" s="1">
        <v>95.23</v>
      </c>
      <c r="I50" s="1">
        <v>58.49</v>
      </c>
      <c r="J50" s="1">
        <v>4.7087199999999996</v>
      </c>
      <c r="K50" s="1">
        <v>5.3620000000000001</v>
      </c>
      <c r="L50" s="1">
        <v>0</v>
      </c>
      <c r="M50" s="1">
        <v>0.05</v>
      </c>
      <c r="N50" s="1">
        <v>6.4390000000000003E-2</v>
      </c>
      <c r="O50" s="1">
        <v>2.3E-2</v>
      </c>
      <c r="P50" s="1">
        <v>6</v>
      </c>
      <c r="R50" s="1">
        <f t="shared" si="26"/>
        <v>58490</v>
      </c>
      <c r="S50" s="1">
        <f t="shared" si="33"/>
        <v>4708.7199999999993</v>
      </c>
      <c r="T50" s="1">
        <f t="shared" si="27"/>
        <v>5362</v>
      </c>
      <c r="U50" s="1">
        <f t="shared" si="28"/>
        <v>0</v>
      </c>
      <c r="V50" s="1">
        <f t="shared" si="29"/>
        <v>50</v>
      </c>
      <c r="W50" s="1">
        <f t="shared" si="30"/>
        <v>64.39</v>
      </c>
      <c r="X50" s="1">
        <f t="shared" si="31"/>
        <v>23</v>
      </c>
      <c r="Y50" s="1">
        <f t="shared" si="32"/>
        <v>6000</v>
      </c>
      <c r="AA50" s="1">
        <f t="shared" si="8"/>
        <v>4770</v>
      </c>
      <c r="AB50" s="1">
        <f t="shared" si="9"/>
        <v>95230</v>
      </c>
    </row>
    <row r="51" spans="1:28" hidden="1" x14ac:dyDescent="0.3">
      <c r="A51" s="1">
        <v>45</v>
      </c>
      <c r="B51" s="5">
        <v>90137</v>
      </c>
      <c r="C51" s="1" t="s">
        <v>62</v>
      </c>
      <c r="D51" s="1" t="s">
        <v>48</v>
      </c>
      <c r="E51" s="1" t="s">
        <v>39</v>
      </c>
      <c r="F51" s="1">
        <v>400</v>
      </c>
      <c r="G51" s="1">
        <v>4.3600000000000003</v>
      </c>
      <c r="H51" s="1">
        <v>4.62</v>
      </c>
      <c r="I51" s="1">
        <v>61.38</v>
      </c>
      <c r="J51" s="1">
        <v>3.61273</v>
      </c>
      <c r="K51" s="1">
        <v>3.8330000000000002</v>
      </c>
      <c r="L51" s="1">
        <v>0</v>
      </c>
      <c r="M51" s="1">
        <v>2.5000000000000001E-2</v>
      </c>
      <c r="N51" s="1">
        <v>5.2290000000000003E-2</v>
      </c>
      <c r="O51" s="1">
        <v>2.4E-2</v>
      </c>
      <c r="P51" s="1">
        <v>4.5599999999999996</v>
      </c>
      <c r="R51" s="1">
        <f t="shared" si="26"/>
        <v>24552</v>
      </c>
      <c r="S51" s="1">
        <f t="shared" si="33"/>
        <v>1445.0920000000001</v>
      </c>
      <c r="T51" s="1">
        <f t="shared" si="27"/>
        <v>1533.2</v>
      </c>
      <c r="U51" s="1">
        <f t="shared" si="28"/>
        <v>0</v>
      </c>
      <c r="V51" s="1">
        <f t="shared" si="29"/>
        <v>10</v>
      </c>
      <c r="W51" s="1">
        <f t="shared" si="30"/>
        <v>20.916</v>
      </c>
      <c r="X51" s="1">
        <f t="shared" si="31"/>
        <v>9.6</v>
      </c>
      <c r="Y51" s="1">
        <f t="shared" si="32"/>
        <v>1823.9999999999998</v>
      </c>
      <c r="AA51" s="1">
        <f t="shared" si="8"/>
        <v>1744.0000000000002</v>
      </c>
      <c r="AB51" s="1">
        <f t="shared" si="9"/>
        <v>1848</v>
      </c>
    </row>
    <row r="52" spans="1:28" x14ac:dyDescent="0.3">
      <c r="A52" s="1">
        <v>46</v>
      </c>
      <c r="B52" s="1">
        <v>90569</v>
      </c>
      <c r="C52" s="1" t="s">
        <v>62</v>
      </c>
      <c r="D52" s="1" t="s">
        <v>61</v>
      </c>
      <c r="E52" s="1" t="s">
        <v>40</v>
      </c>
      <c r="F52" s="1">
        <v>600</v>
      </c>
      <c r="G52" s="1">
        <v>4.71</v>
      </c>
      <c r="H52" s="1">
        <v>95.29</v>
      </c>
      <c r="I52" s="1">
        <v>62.33</v>
      </c>
      <c r="J52" s="1">
        <v>3.6058500000000002</v>
      </c>
      <c r="K52" s="1">
        <v>2.972</v>
      </c>
      <c r="L52" s="1">
        <v>0</v>
      </c>
      <c r="M52" s="1">
        <v>4.9000000000000002E-2</v>
      </c>
      <c r="N52" s="1">
        <v>5.4820000000000001E-2</v>
      </c>
      <c r="O52" s="1">
        <v>1.2999999999999999E-2</v>
      </c>
      <c r="P52" s="1">
        <v>4</v>
      </c>
      <c r="R52" s="1">
        <f t="shared" si="26"/>
        <v>37398</v>
      </c>
      <c r="S52" s="1">
        <f t="shared" si="33"/>
        <v>2163.5100000000002</v>
      </c>
      <c r="T52" s="1">
        <f t="shared" si="27"/>
        <v>1783.2</v>
      </c>
      <c r="U52" s="1">
        <f t="shared" si="28"/>
        <v>0</v>
      </c>
      <c r="V52" s="1">
        <f t="shared" si="29"/>
        <v>29.400000000000002</v>
      </c>
      <c r="W52" s="1">
        <f t="shared" si="30"/>
        <v>32.892000000000003</v>
      </c>
      <c r="X52" s="1">
        <f t="shared" si="31"/>
        <v>7.8</v>
      </c>
      <c r="Y52" s="1">
        <f t="shared" si="32"/>
        <v>2400</v>
      </c>
      <c r="AA52" s="1">
        <f t="shared" si="8"/>
        <v>2826</v>
      </c>
      <c r="AB52" s="1">
        <f t="shared" si="9"/>
        <v>57174.000000000007</v>
      </c>
    </row>
    <row r="53" spans="1:28" x14ac:dyDescent="0.3">
      <c r="A53" s="1">
        <v>47</v>
      </c>
      <c r="B53" s="1">
        <v>90568</v>
      </c>
      <c r="C53" s="1" t="s">
        <v>62</v>
      </c>
      <c r="D53" s="1" t="s">
        <v>57</v>
      </c>
      <c r="E53" s="1" t="s">
        <v>40</v>
      </c>
      <c r="F53" s="1">
        <v>1000</v>
      </c>
      <c r="G53" s="1">
        <v>4.45</v>
      </c>
      <c r="H53" s="1">
        <v>95.55</v>
      </c>
      <c r="I53" s="1">
        <v>62.4</v>
      </c>
      <c r="J53" s="1">
        <v>3.6013500000000001</v>
      </c>
      <c r="K53" s="1">
        <v>2.9369999999999998</v>
      </c>
      <c r="L53" s="1">
        <v>0</v>
      </c>
      <c r="M53" s="1">
        <v>0.05</v>
      </c>
      <c r="N53" s="1">
        <v>5.4919999999999997E-2</v>
      </c>
      <c r="O53" s="1">
        <v>1.7999999999999999E-2</v>
      </c>
      <c r="P53" s="1">
        <v>3.93</v>
      </c>
      <c r="R53" s="1">
        <f t="shared" si="26"/>
        <v>62400</v>
      </c>
      <c r="S53" s="1">
        <f t="shared" si="33"/>
        <v>3601.35</v>
      </c>
      <c r="T53" s="1">
        <f t="shared" si="27"/>
        <v>2937</v>
      </c>
      <c r="U53" s="1">
        <f t="shared" si="28"/>
        <v>0</v>
      </c>
      <c r="V53" s="1">
        <f t="shared" si="29"/>
        <v>50</v>
      </c>
      <c r="W53" s="1">
        <f t="shared" si="30"/>
        <v>54.919999999999995</v>
      </c>
      <c r="X53" s="1">
        <f t="shared" si="31"/>
        <v>18</v>
      </c>
      <c r="Y53" s="1">
        <f t="shared" si="32"/>
        <v>3930</v>
      </c>
      <c r="AA53" s="1">
        <f t="shared" si="8"/>
        <v>4450</v>
      </c>
      <c r="AB53" s="1">
        <f t="shared" si="9"/>
        <v>95550</v>
      </c>
    </row>
    <row r="54" spans="1:28" hidden="1" x14ac:dyDescent="0.3">
      <c r="A54" s="1">
        <v>48</v>
      </c>
      <c r="B54" s="1">
        <v>90567</v>
      </c>
      <c r="C54" s="1" t="s">
        <v>62</v>
      </c>
      <c r="D54" s="1" t="s">
        <v>54</v>
      </c>
      <c r="E54" s="1" t="s">
        <v>39</v>
      </c>
      <c r="F54" s="1">
        <v>400</v>
      </c>
      <c r="G54" s="1">
        <v>4.29</v>
      </c>
      <c r="H54" s="1">
        <v>4.6900000000000004</v>
      </c>
      <c r="I54" s="1">
        <v>62.59</v>
      </c>
      <c r="J54" s="1">
        <v>2.1800799999999998</v>
      </c>
      <c r="K54" s="1">
        <v>2.883</v>
      </c>
      <c r="L54" s="1">
        <v>0</v>
      </c>
      <c r="M54" s="1">
        <v>2.1999999999999999E-2</v>
      </c>
      <c r="N54" s="1">
        <v>6.1990000000000003E-2</v>
      </c>
      <c r="O54" s="1">
        <v>8.8999999999999996E-2</v>
      </c>
      <c r="P54" s="1">
        <v>4.82</v>
      </c>
      <c r="R54" s="1">
        <f t="shared" si="26"/>
        <v>25036</v>
      </c>
      <c r="S54" s="1">
        <f t="shared" si="33"/>
        <v>872.03199999999993</v>
      </c>
      <c r="T54" s="1">
        <f t="shared" si="27"/>
        <v>1153.2</v>
      </c>
      <c r="U54" s="1">
        <f t="shared" si="28"/>
        <v>0</v>
      </c>
      <c r="V54" s="1">
        <f t="shared" si="29"/>
        <v>8.7999999999999989</v>
      </c>
      <c r="W54" s="1">
        <f t="shared" si="30"/>
        <v>24.796000000000003</v>
      </c>
      <c r="X54" s="1">
        <f t="shared" si="31"/>
        <v>35.6</v>
      </c>
      <c r="Y54" s="1">
        <f t="shared" si="32"/>
        <v>1928</v>
      </c>
      <c r="AA54" s="1">
        <f t="shared" si="8"/>
        <v>1716</v>
      </c>
      <c r="AB54" s="1">
        <f t="shared" si="9"/>
        <v>1876.0000000000002</v>
      </c>
    </row>
    <row r="55" spans="1:28" x14ac:dyDescent="0.3">
      <c r="A55" s="1">
        <v>49</v>
      </c>
      <c r="B55" s="1">
        <v>92447</v>
      </c>
      <c r="C55" s="1" t="s">
        <v>62</v>
      </c>
      <c r="D55" s="1" t="s">
        <v>61</v>
      </c>
      <c r="E55" s="2" t="s">
        <v>40</v>
      </c>
      <c r="F55" s="2">
        <v>600</v>
      </c>
      <c r="G55" s="2">
        <v>4.79</v>
      </c>
      <c r="H55" s="2">
        <v>95.21</v>
      </c>
      <c r="I55" s="1">
        <v>53.44</v>
      </c>
      <c r="J55" s="1">
        <v>4.6706300000000001</v>
      </c>
      <c r="K55" s="1">
        <v>7.8979999999999997</v>
      </c>
      <c r="L55" s="1">
        <v>0</v>
      </c>
      <c r="M55" s="1">
        <v>4.5999999999999999E-2</v>
      </c>
      <c r="N55" s="1">
        <v>0.12770000000000001</v>
      </c>
      <c r="O55" s="1">
        <v>1.7000000000000001E-2</v>
      </c>
      <c r="P55" s="1">
        <v>10.56</v>
      </c>
      <c r="R55" s="1">
        <f t="shared" si="26"/>
        <v>32064</v>
      </c>
      <c r="S55" s="1">
        <f t="shared" si="33"/>
        <v>2802.3780000000002</v>
      </c>
      <c r="T55" s="1">
        <f t="shared" si="27"/>
        <v>4738.8</v>
      </c>
      <c r="U55" s="1">
        <f t="shared" si="28"/>
        <v>0</v>
      </c>
      <c r="V55" s="1">
        <f t="shared" si="29"/>
        <v>27.599999999999998</v>
      </c>
      <c r="W55" s="1">
        <f t="shared" si="30"/>
        <v>76.62</v>
      </c>
      <c r="X55" s="1">
        <f t="shared" si="31"/>
        <v>10.200000000000001</v>
      </c>
      <c r="Y55" s="1">
        <f t="shared" si="32"/>
        <v>6336</v>
      </c>
      <c r="AA55" s="1">
        <f t="shared" si="8"/>
        <v>2874</v>
      </c>
      <c r="AB55" s="1">
        <f t="shared" si="9"/>
        <v>57125.999999999993</v>
      </c>
    </row>
    <row r="56" spans="1:28" x14ac:dyDescent="0.3">
      <c r="A56" s="1">
        <v>50</v>
      </c>
      <c r="B56" s="1">
        <v>92446</v>
      </c>
      <c r="C56" s="1" t="s">
        <v>62</v>
      </c>
      <c r="D56" s="1" t="s">
        <v>56</v>
      </c>
      <c r="E56" s="2" t="s">
        <v>40</v>
      </c>
      <c r="F56" s="2">
        <v>1000</v>
      </c>
      <c r="G56" s="2">
        <v>4.6500000000000004</v>
      </c>
      <c r="H56" s="2">
        <v>95.35</v>
      </c>
      <c r="I56" s="1">
        <v>53.37</v>
      </c>
      <c r="J56" s="1">
        <v>4.6831800000000001</v>
      </c>
      <c r="K56" s="1">
        <v>7.9480000000000004</v>
      </c>
      <c r="L56" s="1">
        <v>0</v>
      </c>
      <c r="M56" s="1">
        <v>4.5999999999999999E-2</v>
      </c>
      <c r="N56" s="1">
        <v>0.12820000000000001</v>
      </c>
      <c r="O56" s="1">
        <v>1.7999999999999999E-2</v>
      </c>
      <c r="P56" s="1">
        <v>10.6</v>
      </c>
      <c r="R56" s="1">
        <f t="shared" si="26"/>
        <v>53370</v>
      </c>
      <c r="S56" s="1">
        <f t="shared" si="33"/>
        <v>4683.18</v>
      </c>
      <c r="T56" s="1">
        <f t="shared" si="27"/>
        <v>7948</v>
      </c>
      <c r="U56" s="1">
        <f t="shared" si="28"/>
        <v>0</v>
      </c>
      <c r="V56" s="1">
        <f t="shared" si="29"/>
        <v>46</v>
      </c>
      <c r="W56" s="1">
        <f t="shared" si="30"/>
        <v>128.20000000000002</v>
      </c>
      <c r="X56" s="1">
        <f t="shared" si="31"/>
        <v>18</v>
      </c>
      <c r="Y56" s="1">
        <f t="shared" si="32"/>
        <v>10600</v>
      </c>
      <c r="AA56" s="1">
        <f t="shared" si="8"/>
        <v>4650</v>
      </c>
      <c r="AB56" s="1">
        <f t="shared" si="9"/>
        <v>95350</v>
      </c>
    </row>
    <row r="57" spans="1:28" hidden="1" x14ac:dyDescent="0.3">
      <c r="A57" s="1">
        <v>51</v>
      </c>
      <c r="B57" s="1">
        <v>92445</v>
      </c>
      <c r="C57" s="1" t="s">
        <v>62</v>
      </c>
      <c r="D57" s="1" t="s">
        <v>56</v>
      </c>
      <c r="E57" s="2" t="s">
        <v>39</v>
      </c>
      <c r="F57" s="2">
        <v>400</v>
      </c>
      <c r="G57" s="2">
        <v>4.57</v>
      </c>
      <c r="H57" s="2">
        <v>4.8600000000000003</v>
      </c>
      <c r="I57" s="1">
        <v>55.1</v>
      </c>
      <c r="J57" s="1">
        <v>4.3382500000000004</v>
      </c>
      <c r="K57" s="1">
        <v>7.1319999999999997</v>
      </c>
      <c r="L57" s="1">
        <v>8.5000000000000006E-2</v>
      </c>
      <c r="M57" s="1">
        <v>0.03</v>
      </c>
      <c r="N57" s="1">
        <v>0.10680000000000001</v>
      </c>
      <c r="O57" s="1">
        <v>1.7999999999999999E-2</v>
      </c>
      <c r="P57" s="1">
        <v>9.2799999999999994</v>
      </c>
      <c r="R57" s="1">
        <f t="shared" si="26"/>
        <v>22040</v>
      </c>
      <c r="S57" s="1">
        <f t="shared" si="33"/>
        <v>1735.3000000000002</v>
      </c>
      <c r="T57" s="1">
        <f t="shared" si="27"/>
        <v>2852.7999999999997</v>
      </c>
      <c r="U57" s="1">
        <f t="shared" si="28"/>
        <v>34</v>
      </c>
      <c r="V57" s="1">
        <f t="shared" si="29"/>
        <v>12</v>
      </c>
      <c r="W57" s="1">
        <f t="shared" si="30"/>
        <v>42.72</v>
      </c>
      <c r="X57" s="1">
        <f t="shared" si="31"/>
        <v>7.1999999999999993</v>
      </c>
      <c r="Y57" s="1">
        <f t="shared" si="32"/>
        <v>3711.9999999999995</v>
      </c>
      <c r="AA57" s="1">
        <f t="shared" si="8"/>
        <v>1828</v>
      </c>
      <c r="AB57" s="1">
        <f t="shared" si="9"/>
        <v>1944.0000000000002</v>
      </c>
    </row>
    <row r="59" spans="1:28" x14ac:dyDescent="0.3">
      <c r="E59" s="16" t="s">
        <v>44</v>
      </c>
      <c r="F59" s="16" t="s">
        <v>45</v>
      </c>
      <c r="G59" s="16"/>
      <c r="H59" s="16"/>
      <c r="I59" s="16" t="s">
        <v>5</v>
      </c>
      <c r="J59" s="16" t="s">
        <v>6</v>
      </c>
      <c r="K59" s="16" t="s">
        <v>7</v>
      </c>
      <c r="L59" s="16" t="s">
        <v>8</v>
      </c>
      <c r="M59" s="16" t="s">
        <v>9</v>
      </c>
      <c r="N59" s="16" t="s">
        <v>10</v>
      </c>
      <c r="O59" s="16" t="s">
        <v>11</v>
      </c>
      <c r="P59" s="16" t="s">
        <v>12</v>
      </c>
    </row>
    <row r="60" spans="1:28" x14ac:dyDescent="0.3">
      <c r="E60" s="16" t="s">
        <v>46</v>
      </c>
      <c r="F60" s="3">
        <f>SUMIF(E7:E57,"Fines",F7:F57)</f>
        <v>28000</v>
      </c>
      <c r="G60" s="17">
        <f>AA60/$F$60</f>
        <v>4.7223428571428574</v>
      </c>
      <c r="H60" s="17">
        <f>AB60/$F$60</f>
        <v>95.277657142857137</v>
      </c>
      <c r="I60" s="73">
        <f t="shared" ref="I60:P60" si="34">R60/$F$60</f>
        <v>60.220857142857142</v>
      </c>
      <c r="J60" s="3">
        <f t="shared" si="34"/>
        <v>4.4108040214285706</v>
      </c>
      <c r="K60" s="3">
        <f t="shared" si="34"/>
        <v>4.22377</v>
      </c>
      <c r="L60" s="3">
        <f t="shared" si="34"/>
        <v>7.3857142857142863E-3</v>
      </c>
      <c r="M60" s="3">
        <f t="shared" si="34"/>
        <v>4.3273571428571432E-2</v>
      </c>
      <c r="N60" s="3">
        <f t="shared" si="34"/>
        <v>5.5871492857142865E-2</v>
      </c>
      <c r="O60" s="3">
        <f t="shared" si="34"/>
        <v>3.7633571428571426E-2</v>
      </c>
      <c r="P60" s="3">
        <f t="shared" si="34"/>
        <v>4.8636571428571438</v>
      </c>
      <c r="R60" s="1">
        <f>SUMIF($E$7:$E$57,"Fines",R7:R57)</f>
        <v>1686184</v>
      </c>
      <c r="S60" s="1">
        <f t="shared" ref="S60:Y60" si="35">SUMIF($E$7:$E$57,"Fines",S7:S57)</f>
        <v>123502.51259999999</v>
      </c>
      <c r="T60" s="1">
        <f t="shared" si="35"/>
        <v>118265.56</v>
      </c>
      <c r="U60" s="1">
        <f t="shared" si="35"/>
        <v>206.8</v>
      </c>
      <c r="V60" s="1">
        <f t="shared" si="35"/>
        <v>1211.6600000000001</v>
      </c>
      <c r="W60" s="1">
        <f t="shared" si="35"/>
        <v>1564.4018000000003</v>
      </c>
      <c r="X60" s="1">
        <f t="shared" si="35"/>
        <v>1053.74</v>
      </c>
      <c r="Y60" s="1">
        <f t="shared" si="35"/>
        <v>136182.40000000002</v>
      </c>
      <c r="AA60" s="1">
        <f t="shared" ref="AA60:AB60" si="36">SUMIF($E$7:$E$57,"Fines",AA7:AA57)</f>
        <v>132225.60000000001</v>
      </c>
      <c r="AB60" s="1">
        <f t="shared" si="36"/>
        <v>2667774.4</v>
      </c>
    </row>
    <row r="61" spans="1:28" x14ac:dyDescent="0.3">
      <c r="E61" s="16" t="s">
        <v>39</v>
      </c>
      <c r="F61" s="3">
        <f>SUMIF(E7:E57,"CLO",F7:F57)</f>
        <v>7000</v>
      </c>
      <c r="G61" s="17">
        <f>Y61/$F$61</f>
        <v>4.5168857142857144</v>
      </c>
      <c r="H61" s="17">
        <f>AB61/$F$61</f>
        <v>4.7881999999999998</v>
      </c>
      <c r="I61" s="3">
        <f t="shared" ref="I61:P61" si="37">R61/$F$61</f>
        <v>62.115842857142852</v>
      </c>
      <c r="J61" s="3">
        <f t="shared" si="37"/>
        <v>3.1273276285714284</v>
      </c>
      <c r="K61" s="3">
        <f t="shared" si="37"/>
        <v>3.2338314285714289</v>
      </c>
      <c r="L61" s="3">
        <f t="shared" si="37"/>
        <v>7.4399999999999996E-3</v>
      </c>
      <c r="M61" s="3">
        <f t="shared" si="37"/>
        <v>1.9902857142857142E-2</v>
      </c>
      <c r="N61" s="3">
        <f t="shared" si="37"/>
        <v>5.5253857142857132E-2</v>
      </c>
      <c r="O61" s="3">
        <f t="shared" si="37"/>
        <v>2.0828571428571425E-2</v>
      </c>
      <c r="P61" s="3">
        <f t="shared" si="37"/>
        <v>4.5168857142857144</v>
      </c>
      <c r="R61" s="1">
        <f>SUMIF($E$7:$E$57,"CLO",R7:R57)</f>
        <v>434810.89999999997</v>
      </c>
      <c r="S61" s="1">
        <f t="shared" ref="S61:Y61" si="38">SUMIF($E$7:$E$57,"CLO",S7:S57)</f>
        <v>21891.293399999999</v>
      </c>
      <c r="T61" s="1">
        <f t="shared" si="38"/>
        <v>22636.820000000003</v>
      </c>
      <c r="U61" s="1">
        <f t="shared" si="38"/>
        <v>52.08</v>
      </c>
      <c r="V61" s="1">
        <f t="shared" si="38"/>
        <v>139.32</v>
      </c>
      <c r="W61" s="1">
        <f t="shared" si="38"/>
        <v>386.77699999999993</v>
      </c>
      <c r="X61" s="1">
        <f t="shared" si="38"/>
        <v>145.79999999999998</v>
      </c>
      <c r="Y61" s="1">
        <f t="shared" si="38"/>
        <v>31618.2</v>
      </c>
      <c r="AA61" s="1">
        <f t="shared" ref="AA61:AB61" si="39">SUMIF($E$7:$E$57,"CLO",AA7:AA57)</f>
        <v>30147.8</v>
      </c>
      <c r="AB61" s="1">
        <f t="shared" si="39"/>
        <v>33517.4</v>
      </c>
    </row>
    <row r="62" spans="1:28" x14ac:dyDescent="0.3">
      <c r="F62" s="2">
        <f>SUM(F60:F61)</f>
        <v>35000</v>
      </c>
      <c r="G62" s="2"/>
      <c r="H62" s="2"/>
    </row>
  </sheetData>
  <autoFilter ref="A6:AB57" xr:uid="{00000000-0001-0000-0000-000000000000}">
    <filterColumn colId="4">
      <filters>
        <filter val="Fines"/>
      </filters>
    </filterColumn>
  </autoFilter>
  <mergeCells count="7">
    <mergeCell ref="A5:A6"/>
    <mergeCell ref="C5:C6"/>
    <mergeCell ref="A1:Q1"/>
    <mergeCell ref="F5:F6"/>
    <mergeCell ref="I5:P5"/>
    <mergeCell ref="E5:E6"/>
    <mergeCell ref="G5:H5"/>
  </mergeCells>
  <phoneticPr fontId="18" type="noConversion"/>
  <conditionalFormatting sqref="I7:I5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workbookViewId="0">
      <selection activeCell="A38" sqref="A38:M38"/>
    </sheetView>
  </sheetViews>
  <sheetFormatPr defaultRowHeight="14.4" x14ac:dyDescent="0.3"/>
  <cols>
    <col min="1" max="1" width="19" bestFit="1" customWidth="1"/>
    <col min="2" max="2" width="11.88671875" bestFit="1" customWidth="1"/>
    <col min="3" max="3" width="7.109375" bestFit="1" customWidth="1"/>
    <col min="4" max="4" width="7.6640625" bestFit="1" customWidth="1"/>
    <col min="5" max="5" width="7.5546875" bestFit="1" customWidth="1"/>
    <col min="6" max="6" width="6.77734375" bestFit="1" customWidth="1"/>
    <col min="7" max="7" width="7.77734375" bestFit="1" customWidth="1"/>
    <col min="8" max="10" width="5.77734375" bestFit="1" customWidth="1"/>
    <col min="11" max="11" width="7.77734375" bestFit="1" customWidth="1"/>
    <col min="12" max="13" width="5.77734375" bestFit="1" customWidth="1"/>
    <col min="16" max="16" width="19" bestFit="1" customWidth="1"/>
  </cols>
  <sheetData>
    <row r="1" spans="1:15" x14ac:dyDescent="0.3">
      <c r="A1" s="62" t="s">
        <v>2</v>
      </c>
      <c r="B1" s="60" t="s">
        <v>37</v>
      </c>
      <c r="C1" s="58" t="s">
        <v>38</v>
      </c>
      <c r="D1" s="61" t="s">
        <v>86</v>
      </c>
      <c r="E1" s="61" t="s">
        <v>87</v>
      </c>
      <c r="F1" s="59" t="s">
        <v>4</v>
      </c>
      <c r="G1" s="55"/>
      <c r="H1" s="55"/>
      <c r="I1" s="55"/>
      <c r="J1" s="55"/>
      <c r="K1" s="55"/>
      <c r="L1" s="55"/>
      <c r="M1" s="55"/>
    </row>
    <row r="2" spans="1:15" x14ac:dyDescent="0.3">
      <c r="A2" s="55"/>
      <c r="B2" s="55"/>
      <c r="C2" s="58"/>
      <c r="D2" s="4" t="s">
        <v>88</v>
      </c>
      <c r="E2" s="4" t="s">
        <v>89</v>
      </c>
      <c r="F2" s="7" t="s">
        <v>5</v>
      </c>
      <c r="G2" s="8" t="s">
        <v>6</v>
      </c>
      <c r="H2" s="9" t="s">
        <v>7</v>
      </c>
      <c r="I2" s="10" t="s">
        <v>8</v>
      </c>
      <c r="J2" s="11" t="s">
        <v>9</v>
      </c>
      <c r="K2" s="12" t="s">
        <v>10</v>
      </c>
      <c r="L2" s="13" t="s">
        <v>11</v>
      </c>
      <c r="M2" s="14" t="s">
        <v>12</v>
      </c>
    </row>
    <row r="3" spans="1:15" x14ac:dyDescent="0.3">
      <c r="A3" s="1" t="s">
        <v>64</v>
      </c>
      <c r="B3" s="2" t="s">
        <v>40</v>
      </c>
      <c r="C3" s="1">
        <v>800</v>
      </c>
      <c r="D3" s="1">
        <v>4.59</v>
      </c>
      <c r="E3" s="1">
        <v>95.41</v>
      </c>
      <c r="F3" s="30">
        <v>60.826000000000001</v>
      </c>
      <c r="G3" s="1">
        <v>4.26</v>
      </c>
      <c r="H3" s="1">
        <v>3.8130000000000002</v>
      </c>
      <c r="I3" s="1"/>
      <c r="J3" s="1"/>
      <c r="K3" s="1">
        <v>4.2999999999999997E-2</v>
      </c>
      <c r="L3" s="1"/>
      <c r="M3" s="1">
        <v>4.08</v>
      </c>
    </row>
    <row r="4" spans="1:15" x14ac:dyDescent="0.3">
      <c r="A4" s="1" t="s">
        <v>66</v>
      </c>
      <c r="B4" s="2" t="s">
        <v>40</v>
      </c>
      <c r="C4" s="1">
        <v>1200</v>
      </c>
      <c r="D4" s="1">
        <v>4.83</v>
      </c>
      <c r="E4" s="1">
        <v>95.17</v>
      </c>
      <c r="F4" s="30">
        <v>60.826000000000001</v>
      </c>
      <c r="G4" s="1">
        <v>4.41</v>
      </c>
      <c r="H4" s="1">
        <v>3.8130000000000002</v>
      </c>
      <c r="I4" s="1"/>
      <c r="J4" s="1"/>
      <c r="K4" s="1">
        <v>3.2000000000000001E-2</v>
      </c>
      <c r="L4" s="1"/>
      <c r="M4" s="1">
        <v>4.0199999999999996</v>
      </c>
    </row>
    <row r="5" spans="1:15" ht="15" thickBot="1" x14ac:dyDescent="0.35">
      <c r="A5" s="1" t="s">
        <v>68</v>
      </c>
      <c r="B5" s="2" t="s">
        <v>40</v>
      </c>
      <c r="C5" s="1">
        <v>800</v>
      </c>
      <c r="D5" s="1">
        <v>4.8099999999999996</v>
      </c>
      <c r="E5" s="1">
        <v>95.19</v>
      </c>
      <c r="F5" s="1">
        <v>60.601999999999997</v>
      </c>
      <c r="G5" s="1">
        <v>4.21</v>
      </c>
      <c r="H5" s="1">
        <v>3.548</v>
      </c>
      <c r="I5" s="1"/>
      <c r="J5" s="1"/>
      <c r="K5" s="1">
        <v>4.5999999999999999E-2</v>
      </c>
      <c r="L5" s="1"/>
      <c r="M5" s="1">
        <v>4.8</v>
      </c>
    </row>
    <row r="6" spans="1:15" x14ac:dyDescent="0.3">
      <c r="A6" s="1" t="s">
        <v>70</v>
      </c>
      <c r="B6" s="2" t="s">
        <v>40</v>
      </c>
      <c r="C6" s="19">
        <v>600</v>
      </c>
      <c r="D6" s="20">
        <v>4.58</v>
      </c>
      <c r="E6" s="20">
        <v>95.42</v>
      </c>
      <c r="F6" s="31">
        <v>63.509</v>
      </c>
      <c r="G6" s="20">
        <v>2.81</v>
      </c>
      <c r="H6" s="20">
        <v>2.7530000000000001</v>
      </c>
      <c r="I6" s="20"/>
      <c r="J6" s="20"/>
      <c r="K6" s="20">
        <v>4.4999999999999998E-2</v>
      </c>
      <c r="L6" s="20"/>
      <c r="M6" s="21">
        <v>3.49</v>
      </c>
      <c r="N6" s="29"/>
      <c r="O6" s="29"/>
    </row>
    <row r="7" spans="1:15" x14ac:dyDescent="0.3">
      <c r="A7" s="1" t="s">
        <v>71</v>
      </c>
      <c r="B7" s="2" t="s">
        <v>40</v>
      </c>
      <c r="C7" s="22">
        <v>1000</v>
      </c>
      <c r="D7" s="1">
        <v>4.82</v>
      </c>
      <c r="E7" s="1">
        <v>95.18</v>
      </c>
      <c r="F7" s="30">
        <v>63.732999999999997</v>
      </c>
      <c r="G7" s="1">
        <v>3.21</v>
      </c>
      <c r="H7" s="1">
        <v>2.0390000000000001</v>
      </c>
      <c r="I7" s="1"/>
      <c r="J7" s="1"/>
      <c r="K7" s="1">
        <v>0.03</v>
      </c>
      <c r="L7" s="1"/>
      <c r="M7" s="23">
        <v>3.44</v>
      </c>
      <c r="N7" s="29"/>
      <c r="O7" s="29"/>
    </row>
    <row r="8" spans="1:15" x14ac:dyDescent="0.3">
      <c r="A8" s="1" t="s">
        <v>73</v>
      </c>
      <c r="B8" s="2" t="s">
        <v>40</v>
      </c>
      <c r="C8" s="22">
        <v>1200</v>
      </c>
      <c r="D8" s="1">
        <v>4.75</v>
      </c>
      <c r="E8" s="1">
        <v>95.25</v>
      </c>
      <c r="F8" s="30">
        <v>62.64</v>
      </c>
      <c r="G8" s="1">
        <v>3.78</v>
      </c>
      <c r="H8" s="1">
        <v>2.6509999999999998</v>
      </c>
      <c r="I8" s="1"/>
      <c r="J8" s="1"/>
      <c r="K8" s="1">
        <v>2.8000000000000001E-2</v>
      </c>
      <c r="L8" s="1"/>
      <c r="M8" s="23">
        <v>3.65</v>
      </c>
      <c r="N8" s="29"/>
      <c r="O8" s="29"/>
    </row>
    <row r="9" spans="1:15" x14ac:dyDescent="0.3">
      <c r="A9" s="1" t="s">
        <v>76</v>
      </c>
      <c r="B9" s="2" t="s">
        <v>40</v>
      </c>
      <c r="C9" s="22">
        <v>900</v>
      </c>
      <c r="D9" s="1">
        <v>4.75</v>
      </c>
      <c r="E9" s="1">
        <v>95.25</v>
      </c>
      <c r="F9" s="30">
        <v>55.73</v>
      </c>
      <c r="G9" s="1">
        <v>8.5522299999999998</v>
      </c>
      <c r="H9" s="1">
        <v>6.1029999999999998</v>
      </c>
      <c r="I9" s="1">
        <v>2E-3</v>
      </c>
      <c r="J9" s="1">
        <v>7.9000000000000001E-2</v>
      </c>
      <c r="K9" s="1">
        <v>4.3470000000000002E-2</v>
      </c>
      <c r="L9" s="1">
        <v>1.4999999999999999E-2</v>
      </c>
      <c r="M9" s="23">
        <v>5.34</v>
      </c>
      <c r="N9" s="29"/>
      <c r="O9" s="29"/>
    </row>
    <row r="10" spans="1:15" x14ac:dyDescent="0.3">
      <c r="A10" s="1" t="s">
        <v>77</v>
      </c>
      <c r="B10" s="2" t="s">
        <v>40</v>
      </c>
      <c r="C10" s="22">
        <v>600</v>
      </c>
      <c r="D10" s="1">
        <v>4.3</v>
      </c>
      <c r="E10" s="1">
        <v>95.7</v>
      </c>
      <c r="F10" s="30">
        <v>57.98</v>
      </c>
      <c r="G10" s="1">
        <v>7.0658700000000003</v>
      </c>
      <c r="H10" s="1">
        <v>5.2149999999999999</v>
      </c>
      <c r="I10" s="1">
        <v>0</v>
      </c>
      <c r="J10" s="1">
        <v>0.13600000000000001</v>
      </c>
      <c r="K10" s="1">
        <v>4.267E-2</v>
      </c>
      <c r="L10" s="1">
        <v>4.4999999999999998E-2</v>
      </c>
      <c r="M10" s="23">
        <v>4.34</v>
      </c>
      <c r="N10" s="29"/>
      <c r="O10" s="29"/>
    </row>
    <row r="11" spans="1:15" x14ac:dyDescent="0.3">
      <c r="A11" s="1" t="s">
        <v>78</v>
      </c>
      <c r="B11" s="2" t="s">
        <v>40</v>
      </c>
      <c r="C11" s="22">
        <v>1000</v>
      </c>
      <c r="D11" s="1">
        <v>4.37</v>
      </c>
      <c r="E11" s="1">
        <v>95.63</v>
      </c>
      <c r="F11" s="1">
        <v>60.08</v>
      </c>
      <c r="G11" s="1">
        <v>5.5329199999999998</v>
      </c>
      <c r="H11" s="1">
        <v>4.2270000000000003</v>
      </c>
      <c r="I11" s="1">
        <v>0</v>
      </c>
      <c r="J11" s="1">
        <v>9.1999999999999998E-2</v>
      </c>
      <c r="K11" s="1">
        <v>3.9890000000000002E-2</v>
      </c>
      <c r="L11" s="1">
        <v>2.5999999999999999E-2</v>
      </c>
      <c r="M11" s="23">
        <v>3.92</v>
      </c>
    </row>
    <row r="12" spans="1:15" x14ac:dyDescent="0.3">
      <c r="A12" s="1" t="s">
        <v>81</v>
      </c>
      <c r="B12" s="2" t="s">
        <v>40</v>
      </c>
      <c r="C12" s="22">
        <v>1200</v>
      </c>
      <c r="D12" s="1">
        <v>4.7</v>
      </c>
      <c r="E12" s="1">
        <v>95.3</v>
      </c>
      <c r="F12" s="1">
        <v>60.45</v>
      </c>
      <c r="G12" s="1">
        <v>3.9566599999999998</v>
      </c>
      <c r="H12" s="1">
        <v>4.4189999999999996</v>
      </c>
      <c r="I12" s="1">
        <v>0</v>
      </c>
      <c r="J12" s="1">
        <v>4.9000000000000002E-2</v>
      </c>
      <c r="K12" s="1">
        <v>6.1690000000000002E-2</v>
      </c>
      <c r="L12" s="1">
        <v>1.7000000000000001E-2</v>
      </c>
      <c r="M12" s="23">
        <v>4.8899999999999997</v>
      </c>
      <c r="N12" s="29"/>
      <c r="O12" s="29"/>
    </row>
    <row r="13" spans="1:15" x14ac:dyDescent="0.3">
      <c r="A13" s="1" t="s">
        <v>82</v>
      </c>
      <c r="B13" s="2" t="s">
        <v>40</v>
      </c>
      <c r="C13" s="22">
        <v>600</v>
      </c>
      <c r="D13" s="1">
        <v>4.84</v>
      </c>
      <c r="E13" s="1">
        <v>95.16</v>
      </c>
      <c r="F13" s="30">
        <v>59.84</v>
      </c>
      <c r="G13" s="1">
        <v>5.2018399999999998</v>
      </c>
      <c r="H13" s="1">
        <v>4.6280000000000001</v>
      </c>
      <c r="I13" s="1">
        <v>0</v>
      </c>
      <c r="J13" s="1">
        <v>6.8000000000000005E-2</v>
      </c>
      <c r="K13" s="1">
        <v>4.7669999999999997E-2</v>
      </c>
      <c r="L13" s="1">
        <v>4.2000000000000003E-2</v>
      </c>
      <c r="M13" s="23">
        <v>4.2699999999999996</v>
      </c>
      <c r="N13" s="29"/>
      <c r="O13" s="29"/>
    </row>
    <row r="14" spans="1:15" x14ac:dyDescent="0.3">
      <c r="A14" s="1" t="s">
        <v>83</v>
      </c>
      <c r="B14" s="2" t="s">
        <v>40</v>
      </c>
      <c r="C14" s="22">
        <v>1000</v>
      </c>
      <c r="D14" s="1">
        <v>4.71</v>
      </c>
      <c r="E14" s="1">
        <v>95.29</v>
      </c>
      <c r="F14" s="30">
        <v>59.72</v>
      </c>
      <c r="G14" s="1">
        <v>5.22715</v>
      </c>
      <c r="H14" s="1">
        <v>4.7119999999999997</v>
      </c>
      <c r="I14" s="1">
        <v>0</v>
      </c>
      <c r="J14" s="1">
        <v>6.5000000000000002E-2</v>
      </c>
      <c r="K14" s="1">
        <v>4.777E-2</v>
      </c>
      <c r="L14" s="1">
        <v>3.3000000000000002E-2</v>
      </c>
      <c r="M14" s="23">
        <v>4.34</v>
      </c>
      <c r="N14" s="29"/>
      <c r="O14" s="29"/>
    </row>
    <row r="15" spans="1:15" x14ac:dyDescent="0.3">
      <c r="A15" s="1" t="s">
        <v>50</v>
      </c>
      <c r="B15" s="2" t="s">
        <v>40</v>
      </c>
      <c r="C15" s="28">
        <v>600</v>
      </c>
      <c r="D15" s="2">
        <v>4.8600000000000003</v>
      </c>
      <c r="E15" s="2">
        <v>95.14</v>
      </c>
      <c r="F15" s="1">
        <v>60.7</v>
      </c>
      <c r="G15" s="1">
        <v>4.1956300000000004</v>
      </c>
      <c r="H15" s="1">
        <v>4.1219999999999999</v>
      </c>
      <c r="I15" s="1">
        <v>1.0999999999999999E-2</v>
      </c>
      <c r="J15" s="1">
        <v>5.1999999999999998E-2</v>
      </c>
      <c r="K15" s="1">
        <v>5.6000000000000001E-2</v>
      </c>
      <c r="L15" s="1">
        <v>2.5999999999999999E-2</v>
      </c>
      <c r="M15" s="23">
        <v>4.57</v>
      </c>
      <c r="N15" s="29"/>
      <c r="O15" s="29"/>
    </row>
    <row r="16" spans="1:15" x14ac:dyDescent="0.3">
      <c r="A16" s="1" t="s">
        <v>51</v>
      </c>
      <c r="B16" s="2" t="s">
        <v>40</v>
      </c>
      <c r="C16" s="28">
        <v>1000</v>
      </c>
      <c r="D16" s="2">
        <v>4.7699999999999996</v>
      </c>
      <c r="E16" s="2">
        <v>95.23</v>
      </c>
      <c r="F16" s="30">
        <v>60.83</v>
      </c>
      <c r="G16" s="1">
        <v>4.1531000000000002</v>
      </c>
      <c r="H16" s="1">
        <v>3.9209999999999998</v>
      </c>
      <c r="I16" s="1">
        <v>0.17599999999999999</v>
      </c>
      <c r="J16" s="1">
        <v>5.6000000000000001E-2</v>
      </c>
      <c r="K16" s="1">
        <v>5.3870000000000001E-2</v>
      </c>
      <c r="L16" s="1">
        <v>2.5000000000000001E-2</v>
      </c>
      <c r="M16" s="23">
        <v>4.45</v>
      </c>
      <c r="N16" s="29"/>
      <c r="O16" s="29"/>
    </row>
    <row r="17" spans="1:17" x14ac:dyDescent="0.3">
      <c r="A17" s="1" t="s">
        <v>42</v>
      </c>
      <c r="B17" s="2" t="s">
        <v>40</v>
      </c>
      <c r="C17" s="28">
        <v>600</v>
      </c>
      <c r="D17" s="2">
        <v>4.7300000000000004</v>
      </c>
      <c r="E17" s="2">
        <v>95.27</v>
      </c>
      <c r="F17" s="1">
        <v>60.33</v>
      </c>
      <c r="G17" s="1">
        <v>4.0436800000000002</v>
      </c>
      <c r="H17" s="1">
        <v>4.3049999999999997</v>
      </c>
      <c r="I17" s="1">
        <v>0</v>
      </c>
      <c r="J17" s="1">
        <v>4.4999999999999998E-2</v>
      </c>
      <c r="K17" s="1">
        <v>6.0659999999999999E-2</v>
      </c>
      <c r="L17" s="1">
        <v>2.1999999999999999E-2</v>
      </c>
      <c r="M17" s="23">
        <v>5.08</v>
      </c>
      <c r="N17" s="29"/>
      <c r="O17" s="29"/>
    </row>
    <row r="18" spans="1:17" x14ac:dyDescent="0.3">
      <c r="A18" s="1" t="s">
        <v>41</v>
      </c>
      <c r="B18" s="2" t="s">
        <v>40</v>
      </c>
      <c r="C18" s="28">
        <v>1000</v>
      </c>
      <c r="D18" s="2">
        <v>4.68</v>
      </c>
      <c r="E18" s="2">
        <v>95.32</v>
      </c>
      <c r="F18" s="1">
        <v>60.15</v>
      </c>
      <c r="G18" s="1">
        <v>4.03003</v>
      </c>
      <c r="H18" s="1">
        <v>4.4790000000000001</v>
      </c>
      <c r="I18" s="1">
        <v>0</v>
      </c>
      <c r="J18" s="1">
        <v>4.5999999999999999E-2</v>
      </c>
      <c r="K18" s="1">
        <v>6.1269999999999998E-2</v>
      </c>
      <c r="L18" s="1">
        <v>2.1000000000000001E-2</v>
      </c>
      <c r="M18" s="23">
        <v>5.2</v>
      </c>
      <c r="N18" s="29"/>
      <c r="O18" s="29"/>
    </row>
    <row r="19" spans="1:17" x14ac:dyDescent="0.3">
      <c r="A19" s="1" t="s">
        <v>15</v>
      </c>
      <c r="B19" s="2" t="s">
        <v>40</v>
      </c>
      <c r="C19" s="28">
        <v>1440</v>
      </c>
      <c r="D19" s="2">
        <v>4.8</v>
      </c>
      <c r="E19" s="2">
        <v>95.2</v>
      </c>
      <c r="F19" s="30">
        <v>58.34</v>
      </c>
      <c r="G19" s="1">
        <v>5.75115</v>
      </c>
      <c r="H19" s="1">
        <v>5.0179999999999998</v>
      </c>
      <c r="I19" s="1">
        <v>0</v>
      </c>
      <c r="J19" s="1">
        <v>7.8E-2</v>
      </c>
      <c r="K19" s="1">
        <v>5.9959999999999999E-2</v>
      </c>
      <c r="L19" s="1">
        <v>5.7000000000000002E-2</v>
      </c>
      <c r="M19" s="23">
        <v>5.34</v>
      </c>
      <c r="N19" s="29"/>
      <c r="O19" s="29"/>
    </row>
    <row r="20" spans="1:17" x14ac:dyDescent="0.3">
      <c r="A20" s="1" t="s">
        <v>16</v>
      </c>
      <c r="B20" s="1" t="s">
        <v>40</v>
      </c>
      <c r="C20" s="22">
        <v>600</v>
      </c>
      <c r="D20" s="1">
        <v>4.8600000000000003</v>
      </c>
      <c r="E20" s="1">
        <v>95.14</v>
      </c>
      <c r="F20" s="30">
        <v>62.81</v>
      </c>
      <c r="G20" s="1">
        <v>2.8549199999999999</v>
      </c>
      <c r="H20" s="1">
        <v>3.153</v>
      </c>
      <c r="I20" s="1">
        <v>8.9999999999999993E-3</v>
      </c>
      <c r="J20" s="1">
        <v>3.1E-2</v>
      </c>
      <c r="K20" s="1">
        <v>5.4679999999999999E-2</v>
      </c>
      <c r="L20" s="1">
        <v>2.8000000000000001E-2</v>
      </c>
      <c r="M20" s="23">
        <v>3.92</v>
      </c>
      <c r="N20" s="29"/>
      <c r="O20" s="29"/>
    </row>
    <row r="21" spans="1:17" x14ac:dyDescent="0.3">
      <c r="A21" s="1" t="s">
        <v>17</v>
      </c>
      <c r="B21" s="1" t="s">
        <v>40</v>
      </c>
      <c r="C21" s="22">
        <v>1000</v>
      </c>
      <c r="D21" s="1">
        <v>4.8499999999999996</v>
      </c>
      <c r="E21" s="1">
        <v>95.15</v>
      </c>
      <c r="F21" s="30">
        <v>62.85</v>
      </c>
      <c r="G21" s="1">
        <v>2.7984499999999999</v>
      </c>
      <c r="H21" s="1">
        <v>3.1059999999999999</v>
      </c>
      <c r="I21" s="1">
        <v>0</v>
      </c>
      <c r="J21" s="1">
        <v>2.5999999999999999E-2</v>
      </c>
      <c r="K21" s="1">
        <v>5.4730000000000001E-2</v>
      </c>
      <c r="L21" s="1">
        <v>2.5000000000000001E-2</v>
      </c>
      <c r="M21" s="23">
        <v>3.99</v>
      </c>
      <c r="N21" s="29"/>
      <c r="O21" s="29"/>
      <c r="P21" s="29"/>
      <c r="Q21" s="29"/>
    </row>
    <row r="22" spans="1:17" x14ac:dyDescent="0.3">
      <c r="A22" s="1" t="s">
        <v>19</v>
      </c>
      <c r="B22" s="1" t="s">
        <v>40</v>
      </c>
      <c r="C22" s="22">
        <v>1000</v>
      </c>
      <c r="D22" s="1">
        <v>4.78</v>
      </c>
      <c r="E22" s="1">
        <v>95.22</v>
      </c>
      <c r="F22" s="30">
        <v>62.82</v>
      </c>
      <c r="G22" s="1">
        <v>2.9337300000000002</v>
      </c>
      <c r="H22" s="1">
        <v>2.9830000000000001</v>
      </c>
      <c r="I22" s="1">
        <v>6.0000000000000001E-3</v>
      </c>
      <c r="J22" s="1">
        <v>2.8000000000000001E-2</v>
      </c>
      <c r="K22" s="1">
        <v>5.484E-2</v>
      </c>
      <c r="L22" s="1">
        <v>0.03</v>
      </c>
      <c r="M22" s="23">
        <v>4.0199999999999996</v>
      </c>
      <c r="N22" s="29"/>
      <c r="O22" s="29"/>
      <c r="P22" s="29"/>
      <c r="Q22" s="29"/>
    </row>
    <row r="23" spans="1:17" x14ac:dyDescent="0.3">
      <c r="A23" s="1" t="s">
        <v>20</v>
      </c>
      <c r="B23" s="1" t="s">
        <v>40</v>
      </c>
      <c r="C23" s="22">
        <v>1000</v>
      </c>
      <c r="D23" s="1">
        <v>4.6399999999999997</v>
      </c>
      <c r="E23" s="1">
        <v>95.36</v>
      </c>
      <c r="F23" s="30">
        <v>62.86</v>
      </c>
      <c r="G23" s="1">
        <v>2.9352100000000001</v>
      </c>
      <c r="H23" s="1">
        <v>3.0470000000000002</v>
      </c>
      <c r="I23" s="1">
        <v>0</v>
      </c>
      <c r="J23" s="1">
        <v>3.1E-2</v>
      </c>
      <c r="K23" s="1">
        <v>5.4640000000000001E-2</v>
      </c>
      <c r="L23" s="1">
        <v>2.4E-2</v>
      </c>
      <c r="M23" s="23">
        <v>3.9</v>
      </c>
      <c r="N23" s="29"/>
      <c r="O23" s="29"/>
      <c r="P23" s="29"/>
      <c r="Q23" s="29"/>
    </row>
    <row r="24" spans="1:17" x14ac:dyDescent="0.3">
      <c r="A24" s="1" t="s">
        <v>22</v>
      </c>
      <c r="B24" s="1" t="s">
        <v>40</v>
      </c>
      <c r="C24" s="22">
        <v>1000</v>
      </c>
      <c r="D24" s="1">
        <v>4.91</v>
      </c>
      <c r="E24" s="1">
        <v>95.09</v>
      </c>
      <c r="F24" s="30">
        <v>58.73</v>
      </c>
      <c r="G24" s="1">
        <v>4.2869299999999999</v>
      </c>
      <c r="H24" s="1">
        <v>5.0549999999999997</v>
      </c>
      <c r="I24" s="1">
        <v>0</v>
      </c>
      <c r="J24" s="1">
        <v>0.05</v>
      </c>
      <c r="K24" s="1">
        <v>7.5730000000000006E-2</v>
      </c>
      <c r="L24" s="1">
        <v>1.9E-2</v>
      </c>
      <c r="M24" s="23">
        <v>6.31</v>
      </c>
      <c r="N24" s="29"/>
      <c r="O24" s="29"/>
      <c r="P24" s="29"/>
      <c r="Q24" s="29"/>
    </row>
    <row r="25" spans="1:17" x14ac:dyDescent="0.3">
      <c r="A25" s="1" t="s">
        <v>23</v>
      </c>
      <c r="B25" s="1" t="s">
        <v>40</v>
      </c>
      <c r="C25" s="22">
        <v>1000</v>
      </c>
      <c r="D25" s="1">
        <v>4.8499999999999996</v>
      </c>
      <c r="E25" s="1">
        <v>95.15</v>
      </c>
      <c r="F25" s="30">
        <v>58.69</v>
      </c>
      <c r="G25" s="1">
        <v>4.3323099999999997</v>
      </c>
      <c r="H25" s="1">
        <v>5.0229999999999997</v>
      </c>
      <c r="I25" s="1">
        <v>1.0999999999999999E-2</v>
      </c>
      <c r="J25" s="1">
        <v>5.2999999999999999E-2</v>
      </c>
      <c r="K25" s="1">
        <v>7.3410000000000003E-2</v>
      </c>
      <c r="L25" s="1">
        <v>1.7000000000000001E-2</v>
      </c>
      <c r="M25" s="23">
        <v>6.34</v>
      </c>
      <c r="N25" s="29"/>
      <c r="O25" s="29"/>
      <c r="P25" s="29"/>
      <c r="Q25" s="29"/>
    </row>
    <row r="26" spans="1:17" x14ac:dyDescent="0.3">
      <c r="A26" s="1" t="s">
        <v>25</v>
      </c>
      <c r="B26" s="1" t="s">
        <v>40</v>
      </c>
      <c r="C26" s="22">
        <v>760</v>
      </c>
      <c r="D26" s="1">
        <v>4.5599999999999996</v>
      </c>
      <c r="E26" s="1">
        <v>95.44</v>
      </c>
      <c r="F26" s="1">
        <v>60.19</v>
      </c>
      <c r="G26" s="1">
        <v>4.6030600000000002</v>
      </c>
      <c r="H26" s="1">
        <v>4.5789999999999997</v>
      </c>
      <c r="I26" s="1">
        <v>0</v>
      </c>
      <c r="J26" s="1">
        <v>4.9000000000000002E-2</v>
      </c>
      <c r="K26" s="1">
        <v>5.219E-2</v>
      </c>
      <c r="L26" s="1">
        <v>2.1000000000000001E-2</v>
      </c>
      <c r="M26" s="23">
        <v>4.4800000000000004</v>
      </c>
      <c r="P26" s="29"/>
      <c r="Q26" s="29"/>
    </row>
    <row r="27" spans="1:17" x14ac:dyDescent="0.3">
      <c r="A27" s="1" t="s">
        <v>26</v>
      </c>
      <c r="B27" s="1" t="s">
        <v>40</v>
      </c>
      <c r="C27" s="22">
        <v>1000</v>
      </c>
      <c r="D27" s="1">
        <v>4.7300000000000004</v>
      </c>
      <c r="E27" s="1">
        <v>95.27</v>
      </c>
      <c r="F27" s="1">
        <v>60.41</v>
      </c>
      <c r="G27" s="1">
        <v>5.2419500000000001</v>
      </c>
      <c r="H27" s="1">
        <v>3.9780000000000002</v>
      </c>
      <c r="I27" s="1">
        <v>0</v>
      </c>
      <c r="J27" s="1">
        <v>4.7E-2</v>
      </c>
      <c r="K27" s="1">
        <v>4.9750000000000003E-2</v>
      </c>
      <c r="L27" s="1">
        <v>0.51500000000000001</v>
      </c>
      <c r="M27" s="23">
        <v>3.61</v>
      </c>
      <c r="P27" s="29"/>
      <c r="Q27" s="29"/>
    </row>
    <row r="28" spans="1:17" x14ac:dyDescent="0.3">
      <c r="A28" s="1" t="s">
        <v>28</v>
      </c>
      <c r="B28" s="1" t="s">
        <v>40</v>
      </c>
      <c r="C28" s="22">
        <v>600</v>
      </c>
      <c r="D28" s="1">
        <v>4.8099999999999996</v>
      </c>
      <c r="E28" s="1">
        <v>95.19</v>
      </c>
      <c r="F28" s="30">
        <v>58.53</v>
      </c>
      <c r="G28" s="1">
        <v>4.7370099999999997</v>
      </c>
      <c r="H28" s="1">
        <v>5.2919999999999998</v>
      </c>
      <c r="I28" s="1">
        <v>0</v>
      </c>
      <c r="J28" s="1">
        <v>5.0999999999999997E-2</v>
      </c>
      <c r="K28" s="1">
        <v>6.6409999999999997E-2</v>
      </c>
      <c r="L28" s="1">
        <v>1.7999999999999999E-2</v>
      </c>
      <c r="M28" s="23">
        <v>5.98</v>
      </c>
      <c r="P28" s="29"/>
      <c r="Q28" s="29"/>
    </row>
    <row r="29" spans="1:17" x14ac:dyDescent="0.3">
      <c r="A29" s="1" t="s">
        <v>29</v>
      </c>
      <c r="B29" s="1" t="s">
        <v>40</v>
      </c>
      <c r="C29" s="22">
        <v>1000</v>
      </c>
      <c r="D29" s="1">
        <v>4.7699999999999996</v>
      </c>
      <c r="E29" s="1">
        <v>95.23</v>
      </c>
      <c r="F29" s="30">
        <v>58.49</v>
      </c>
      <c r="G29" s="1">
        <v>4.7087199999999996</v>
      </c>
      <c r="H29" s="1">
        <v>5.3620000000000001</v>
      </c>
      <c r="I29" s="1">
        <v>0</v>
      </c>
      <c r="J29" s="1">
        <v>0.05</v>
      </c>
      <c r="K29" s="1">
        <v>6.4390000000000003E-2</v>
      </c>
      <c r="L29" s="1">
        <v>2.3E-2</v>
      </c>
      <c r="M29" s="23">
        <v>6</v>
      </c>
      <c r="P29" s="29"/>
      <c r="Q29" s="29"/>
    </row>
    <row r="30" spans="1:17" x14ac:dyDescent="0.3">
      <c r="A30" s="1" t="s">
        <v>31</v>
      </c>
      <c r="B30" s="1" t="s">
        <v>40</v>
      </c>
      <c r="C30" s="22">
        <v>600</v>
      </c>
      <c r="D30" s="1">
        <v>4.71</v>
      </c>
      <c r="E30" s="1">
        <v>95.29</v>
      </c>
      <c r="F30" s="30">
        <v>62.33</v>
      </c>
      <c r="G30" s="1">
        <v>3.6058500000000002</v>
      </c>
      <c r="H30" s="1">
        <v>2.972</v>
      </c>
      <c r="I30" s="1">
        <v>0</v>
      </c>
      <c r="J30" s="1">
        <v>4.9000000000000002E-2</v>
      </c>
      <c r="K30" s="1">
        <v>5.4820000000000001E-2</v>
      </c>
      <c r="L30" s="1">
        <v>1.2999999999999999E-2</v>
      </c>
      <c r="M30" s="23">
        <v>4</v>
      </c>
      <c r="N30" s="29"/>
      <c r="O30" s="29"/>
      <c r="P30" s="29"/>
      <c r="Q30" s="29"/>
    </row>
    <row r="31" spans="1:17" x14ac:dyDescent="0.3">
      <c r="A31" s="1" t="s">
        <v>32</v>
      </c>
      <c r="B31" s="1" t="s">
        <v>40</v>
      </c>
      <c r="C31" s="22">
        <v>1000</v>
      </c>
      <c r="D31" s="1">
        <v>4.45</v>
      </c>
      <c r="E31" s="1">
        <v>95.55</v>
      </c>
      <c r="F31" s="30">
        <v>62.4</v>
      </c>
      <c r="G31" s="1">
        <v>3.6013500000000001</v>
      </c>
      <c r="H31" s="1">
        <v>2.9369999999999998</v>
      </c>
      <c r="I31" s="1">
        <v>0</v>
      </c>
      <c r="J31" s="1">
        <v>0.05</v>
      </c>
      <c r="K31" s="1">
        <v>5.4919999999999997E-2</v>
      </c>
      <c r="L31" s="1">
        <v>1.7999999999999999E-2</v>
      </c>
      <c r="M31" s="23">
        <v>3.93</v>
      </c>
      <c r="N31" s="29"/>
      <c r="O31" s="29"/>
      <c r="P31" s="29"/>
      <c r="Q31" s="29"/>
    </row>
    <row r="32" spans="1:17" x14ac:dyDescent="0.3">
      <c r="A32" s="1" t="s">
        <v>34</v>
      </c>
      <c r="B32" s="2" t="s">
        <v>40</v>
      </c>
      <c r="C32" s="28">
        <v>600</v>
      </c>
      <c r="D32" s="2">
        <v>4.79</v>
      </c>
      <c r="E32" s="2">
        <v>95.21</v>
      </c>
      <c r="F32" s="30">
        <v>53.44</v>
      </c>
      <c r="G32" s="1">
        <v>4.6706300000000001</v>
      </c>
      <c r="H32" s="1">
        <v>7.8979999999999997</v>
      </c>
      <c r="I32" s="1">
        <v>0</v>
      </c>
      <c r="J32" s="1">
        <v>4.5999999999999999E-2</v>
      </c>
      <c r="K32" s="1">
        <v>0.12770000000000001</v>
      </c>
      <c r="L32" s="1">
        <v>1.7000000000000001E-2</v>
      </c>
      <c r="M32" s="23">
        <v>10.56</v>
      </c>
      <c r="N32" s="29"/>
      <c r="O32" s="29"/>
      <c r="P32" s="29"/>
      <c r="Q32" s="29"/>
    </row>
    <row r="33" spans="1:17" ht="15" thickBot="1" x14ac:dyDescent="0.35">
      <c r="A33" s="1" t="s">
        <v>35</v>
      </c>
      <c r="B33" s="2" t="s">
        <v>40</v>
      </c>
      <c r="C33" s="26">
        <v>1000</v>
      </c>
      <c r="D33" s="27">
        <v>4.6500000000000004</v>
      </c>
      <c r="E33" s="27">
        <v>95.35</v>
      </c>
      <c r="F33" s="32">
        <v>53.37</v>
      </c>
      <c r="G33" s="24">
        <v>4.6831800000000001</v>
      </c>
      <c r="H33" s="24">
        <v>7.9480000000000004</v>
      </c>
      <c r="I33" s="24">
        <v>0</v>
      </c>
      <c r="J33" s="24">
        <v>4.5999999999999999E-2</v>
      </c>
      <c r="K33" s="24">
        <v>0.12820000000000001</v>
      </c>
      <c r="L33" s="24">
        <v>1.7999999999999999E-2</v>
      </c>
      <c r="M33" s="25">
        <v>10.6</v>
      </c>
      <c r="N33" s="29"/>
      <c r="O33" s="29"/>
      <c r="P33" s="29"/>
      <c r="Q33" s="29"/>
    </row>
    <row r="34" spans="1:17" x14ac:dyDescent="0.3">
      <c r="C34">
        <f>SUM(C6:C33)</f>
        <v>24900</v>
      </c>
      <c r="D34">
        <f t="shared" ref="D34:E34" si="0">SUMPRODUCT($C$6:$C$33,D6:D33)/$C$34</f>
        <v>4.7172931726907636</v>
      </c>
      <c r="E34">
        <f t="shared" si="0"/>
        <v>95.282706827309227</v>
      </c>
      <c r="F34">
        <f>SUMPRODUCT($C$6:$C$33,F6:F33)/$C$34</f>
        <v>60.097726907630516</v>
      </c>
      <c r="G34">
        <f t="shared" ref="G34:M34" si="1">SUMPRODUCT($C$6:$C$33,G6:G33)/$C$34</f>
        <v>4.4155529558232933</v>
      </c>
      <c r="H34">
        <f t="shared" si="1"/>
        <v>4.3253999999999992</v>
      </c>
      <c r="I34">
        <f t="shared" si="1"/>
        <v>8.3052208835341368E-3</v>
      </c>
      <c r="J34">
        <f t="shared" si="1"/>
        <v>4.844417670682731E-2</v>
      </c>
      <c r="K34">
        <f t="shared" si="1"/>
        <v>5.8214208835341383E-2</v>
      </c>
      <c r="L34">
        <f t="shared" si="1"/>
        <v>4.2270682730923693E-2</v>
      </c>
      <c r="M34">
        <f t="shared" si="1"/>
        <v>4.9768835341365456</v>
      </c>
      <c r="N34" s="29"/>
      <c r="O34" s="29"/>
    </row>
    <row r="38" spans="1:17" x14ac:dyDescent="0.3">
      <c r="A38" s="1" t="s">
        <v>74</v>
      </c>
      <c r="B38" s="2" t="s">
        <v>40</v>
      </c>
      <c r="C38" s="5">
        <v>300</v>
      </c>
      <c r="D38" s="5">
        <v>4.83</v>
      </c>
      <c r="E38" s="5">
        <v>95.17</v>
      </c>
      <c r="F38" s="5">
        <v>65.39</v>
      </c>
      <c r="G38" s="1">
        <v>4.9574800000000003</v>
      </c>
      <c r="H38" s="1">
        <v>0.32900000000000001</v>
      </c>
      <c r="I38" s="1">
        <v>0</v>
      </c>
      <c r="J38" s="1">
        <v>1.7999999999999999E-2</v>
      </c>
      <c r="K38" s="1">
        <v>1.7559999999999999E-2</v>
      </c>
      <c r="L38" s="1">
        <v>4.0000000000000001E-3</v>
      </c>
      <c r="M38" s="1">
        <v>1.1000000000000001</v>
      </c>
    </row>
  </sheetData>
  <autoFilter ref="A2:Q34" xr:uid="{00000000-0001-0000-0100-000000000000}"/>
  <mergeCells count="5">
    <mergeCell ref="B1:B2"/>
    <mergeCell ref="C1:C2"/>
    <mergeCell ref="D1:E1"/>
    <mergeCell ref="F1:M1"/>
    <mergeCell ref="A1:A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23"/>
  <sheetViews>
    <sheetView topLeftCell="A4" workbookViewId="0">
      <selection activeCell="A38" sqref="A38:M38"/>
    </sheetView>
  </sheetViews>
  <sheetFormatPr defaultRowHeight="14.4" x14ac:dyDescent="0.3"/>
  <cols>
    <col min="1" max="1" width="19" bestFit="1" customWidth="1"/>
  </cols>
  <sheetData>
    <row r="2" spans="1:24" x14ac:dyDescent="0.3">
      <c r="B2" s="18"/>
    </row>
    <row r="3" spans="1:24" x14ac:dyDescent="0.3">
      <c r="A3" s="62" t="s">
        <v>2</v>
      </c>
      <c r="B3" s="60" t="s">
        <v>37</v>
      </c>
      <c r="C3" s="58" t="s">
        <v>38</v>
      </c>
      <c r="D3" s="61" t="s">
        <v>86</v>
      </c>
      <c r="E3" s="61" t="s">
        <v>87</v>
      </c>
      <c r="F3" s="59" t="s">
        <v>4</v>
      </c>
      <c r="G3" s="55"/>
      <c r="H3" s="55"/>
      <c r="I3" s="55"/>
      <c r="J3" s="55"/>
      <c r="K3" s="55"/>
      <c r="L3" s="55"/>
      <c r="M3" s="55"/>
    </row>
    <row r="4" spans="1:24" x14ac:dyDescent="0.3">
      <c r="A4" s="55"/>
      <c r="B4" s="55"/>
      <c r="C4" s="58"/>
      <c r="D4" s="4" t="s">
        <v>88</v>
      </c>
      <c r="E4" s="4" t="s">
        <v>89</v>
      </c>
      <c r="F4" s="7" t="s">
        <v>5</v>
      </c>
      <c r="G4" s="8" t="s">
        <v>6</v>
      </c>
      <c r="H4" s="9" t="s">
        <v>7</v>
      </c>
      <c r="I4" s="10" t="s">
        <v>8</v>
      </c>
      <c r="J4" s="11" t="s">
        <v>9</v>
      </c>
      <c r="K4" s="12" t="s">
        <v>10</v>
      </c>
      <c r="L4" s="13" t="s">
        <v>11</v>
      </c>
      <c r="M4" s="14" t="s">
        <v>12</v>
      </c>
    </row>
    <row r="5" spans="1:24" x14ac:dyDescent="0.3">
      <c r="A5" s="1" t="s">
        <v>63</v>
      </c>
      <c r="B5" s="2" t="s">
        <v>39</v>
      </c>
      <c r="C5" s="1">
        <v>200</v>
      </c>
      <c r="D5" s="1">
        <v>4.63</v>
      </c>
      <c r="E5" s="1">
        <v>4.88</v>
      </c>
      <c r="F5" s="1">
        <v>63.509</v>
      </c>
      <c r="G5" s="1">
        <v>2.74</v>
      </c>
      <c r="H5" s="1">
        <v>2.4670000000000001</v>
      </c>
      <c r="I5" s="1"/>
      <c r="J5" s="1"/>
      <c r="K5" s="1">
        <v>3.2000000000000001E-2</v>
      </c>
      <c r="L5" s="1"/>
      <c r="M5" s="1">
        <v>3.59</v>
      </c>
    </row>
    <row r="6" spans="1:24" x14ac:dyDescent="0.3">
      <c r="A6" s="1" t="s">
        <v>65</v>
      </c>
      <c r="B6" s="2" t="s">
        <v>39</v>
      </c>
      <c r="C6" s="1">
        <v>300</v>
      </c>
      <c r="D6" s="1">
        <v>4.37</v>
      </c>
      <c r="E6" s="1">
        <v>4.7699999999999996</v>
      </c>
      <c r="F6" s="1">
        <v>61.048999999999999</v>
      </c>
      <c r="G6" s="1">
        <v>4.12</v>
      </c>
      <c r="H6" s="1">
        <v>3.6909999999999998</v>
      </c>
      <c r="I6" s="1"/>
      <c r="J6" s="1"/>
      <c r="K6" s="1">
        <v>3.5999999999999997E-2</v>
      </c>
      <c r="L6" s="1"/>
      <c r="M6" s="1">
        <v>4.25</v>
      </c>
      <c r="N6" s="63">
        <f>SUM(C6:C23)</f>
        <v>6800</v>
      </c>
      <c r="O6" s="63">
        <f t="shared" ref="O6:X6" si="0">SUMPRODUCT($C$6:$C$23,D6:D23)/$N$6</f>
        <v>4.2973235294117647</v>
      </c>
      <c r="P6" s="63">
        <f t="shared" si="0"/>
        <v>4.7854999999999999</v>
      </c>
      <c r="Q6" s="63">
        <f t="shared" si="0"/>
        <v>62.074867647058831</v>
      </c>
      <c r="R6" s="63">
        <f t="shared" si="0"/>
        <v>3.1387196176470584</v>
      </c>
      <c r="S6" s="63">
        <f t="shared" si="0"/>
        <v>3.2563852941176474</v>
      </c>
      <c r="T6" s="63">
        <f t="shared" si="0"/>
        <v>7.6588235294117648E-3</v>
      </c>
      <c r="U6" s="63">
        <f t="shared" si="0"/>
        <v>2.0488235294117647E-2</v>
      </c>
      <c r="V6" s="63">
        <f t="shared" si="0"/>
        <v>5.5937794117647072E-2</v>
      </c>
      <c r="W6" s="63">
        <f t="shared" si="0"/>
        <v>2.1441176470588234E-2</v>
      </c>
      <c r="X6" s="63">
        <f t="shared" si="0"/>
        <v>4.5441470588235298</v>
      </c>
    </row>
    <row r="7" spans="1:24" x14ac:dyDescent="0.3">
      <c r="A7" s="1" t="s">
        <v>67</v>
      </c>
      <c r="B7" s="2" t="s">
        <v>39</v>
      </c>
      <c r="C7" s="1">
        <v>200</v>
      </c>
      <c r="D7" s="1">
        <v>4.59</v>
      </c>
      <c r="E7" s="1">
        <v>4.88</v>
      </c>
      <c r="F7" s="1">
        <v>62.838000000000001</v>
      </c>
      <c r="G7" s="1">
        <v>2.81</v>
      </c>
      <c r="H7" s="1">
        <v>2.2639999999999998</v>
      </c>
      <c r="I7" s="1"/>
      <c r="J7" s="1"/>
      <c r="K7" s="1">
        <v>4.1000000000000002E-2</v>
      </c>
      <c r="L7" s="1"/>
      <c r="M7" s="1">
        <v>4.55</v>
      </c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 spans="1:24" x14ac:dyDescent="0.3">
      <c r="A8" s="1" t="s">
        <v>69</v>
      </c>
      <c r="B8" s="2" t="s">
        <v>39</v>
      </c>
      <c r="C8" s="1">
        <v>400</v>
      </c>
      <c r="D8" s="1">
        <v>4.33</v>
      </c>
      <c r="E8" s="1">
        <v>4.7</v>
      </c>
      <c r="F8" s="1">
        <v>64.626999999999995</v>
      </c>
      <c r="G8" s="1">
        <v>2.41</v>
      </c>
      <c r="H8" s="1">
        <v>2.0390000000000001</v>
      </c>
      <c r="I8" s="1"/>
      <c r="J8" s="1"/>
      <c r="K8" s="1">
        <v>1.7999999999999999E-2</v>
      </c>
      <c r="L8" s="1"/>
      <c r="M8" s="1">
        <v>3.11</v>
      </c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 spans="1:24" x14ac:dyDescent="0.3">
      <c r="A9" s="1" t="s">
        <v>72</v>
      </c>
      <c r="B9" s="2" t="s">
        <v>39</v>
      </c>
      <c r="C9" s="1">
        <v>300</v>
      </c>
      <c r="D9" s="1">
        <v>4.18</v>
      </c>
      <c r="E9" s="1">
        <v>4.78</v>
      </c>
      <c r="F9" s="1">
        <v>60.844000000000001</v>
      </c>
      <c r="G9" s="1">
        <v>4.03</v>
      </c>
      <c r="H9" s="1">
        <v>3.222</v>
      </c>
      <c r="I9" s="1"/>
      <c r="J9" s="1"/>
      <c r="K9" s="1">
        <v>3.5000000000000003E-2</v>
      </c>
      <c r="L9" s="1"/>
      <c r="M9" s="1">
        <v>5.34</v>
      </c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 spans="1:24" x14ac:dyDescent="0.3">
      <c r="A10" s="1" t="s">
        <v>75</v>
      </c>
      <c r="B10" s="2" t="s">
        <v>39</v>
      </c>
      <c r="C10" s="1">
        <v>300</v>
      </c>
      <c r="D10" s="1">
        <v>3.84</v>
      </c>
      <c r="E10" s="1">
        <v>4.25</v>
      </c>
      <c r="F10" s="1">
        <v>61.77</v>
      </c>
      <c r="G10" s="1">
        <v>6.51769</v>
      </c>
      <c r="H10" s="1">
        <v>2.302</v>
      </c>
      <c r="I10" s="1">
        <v>0</v>
      </c>
      <c r="J10" s="1">
        <v>3.1E-2</v>
      </c>
      <c r="K10" s="1">
        <v>3.356E-2</v>
      </c>
      <c r="L10" s="1">
        <v>2.3E-2</v>
      </c>
      <c r="M10" s="1">
        <v>2.66</v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 spans="1:24" x14ac:dyDescent="0.3">
      <c r="A11" s="1" t="s">
        <v>79</v>
      </c>
      <c r="B11" s="2" t="s">
        <v>39</v>
      </c>
      <c r="C11" s="1">
        <v>400</v>
      </c>
      <c r="D11" s="1">
        <v>4.6500000000000004</v>
      </c>
      <c r="E11" s="1">
        <v>4.91</v>
      </c>
      <c r="F11" s="1">
        <v>59.2</v>
      </c>
      <c r="G11" s="1">
        <v>3.4665900000000001</v>
      </c>
      <c r="H11" s="1">
        <v>4.907</v>
      </c>
      <c r="I11" s="1">
        <v>0</v>
      </c>
      <c r="J11" s="1">
        <v>2.8000000000000001E-2</v>
      </c>
      <c r="K11" s="1">
        <v>8.6580000000000004E-2</v>
      </c>
      <c r="L11" s="1">
        <v>2.1999999999999999E-2</v>
      </c>
      <c r="M11" s="1">
        <v>6.64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 spans="1:24" x14ac:dyDescent="0.3">
      <c r="A12" s="1" t="s">
        <v>80</v>
      </c>
      <c r="B12" s="2" t="s">
        <v>39</v>
      </c>
      <c r="C12" s="1">
        <v>300</v>
      </c>
      <c r="D12" s="1">
        <v>3.16</v>
      </c>
      <c r="E12" s="1">
        <v>4.92</v>
      </c>
      <c r="F12" s="1">
        <v>61.66</v>
      </c>
      <c r="G12" s="1">
        <v>2.8306</v>
      </c>
      <c r="H12" s="1">
        <v>3.8010000000000002</v>
      </c>
      <c r="I12" s="1">
        <v>0</v>
      </c>
      <c r="J12" s="1">
        <v>2.1999999999999999E-2</v>
      </c>
      <c r="K12" s="1">
        <v>6.6869999999999999E-2</v>
      </c>
      <c r="L12" s="1">
        <v>7.0000000000000001E-3</v>
      </c>
      <c r="M12" s="1">
        <v>4.92</v>
      </c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 spans="1:24" x14ac:dyDescent="0.3">
      <c r="A13" s="1" t="s">
        <v>84</v>
      </c>
      <c r="B13" s="2" t="s">
        <v>39</v>
      </c>
      <c r="C13" s="1">
        <v>400</v>
      </c>
      <c r="D13" s="1">
        <v>4.5599999999999996</v>
      </c>
      <c r="E13" s="1">
        <v>4.75</v>
      </c>
      <c r="F13" s="1">
        <v>61.23</v>
      </c>
      <c r="G13" s="1">
        <v>4.16357</v>
      </c>
      <c r="H13" s="1">
        <v>3.9489999999999998</v>
      </c>
      <c r="I13" s="1">
        <v>0</v>
      </c>
      <c r="J13" s="1">
        <v>4.5999999999999999E-2</v>
      </c>
      <c r="K13" s="1">
        <v>5.4339999999999999E-2</v>
      </c>
      <c r="L13" s="1">
        <v>7.4999999999999997E-2</v>
      </c>
      <c r="M13" s="1">
        <v>4.0199999999999996</v>
      </c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 spans="1:24" x14ac:dyDescent="0.3">
      <c r="A14" s="1" t="s">
        <v>52</v>
      </c>
      <c r="B14" s="2" t="s">
        <v>39</v>
      </c>
      <c r="C14" s="2">
        <v>400</v>
      </c>
      <c r="D14" s="2">
        <v>4.28</v>
      </c>
      <c r="E14" s="2">
        <v>4.8099999999999996</v>
      </c>
      <c r="F14" s="1">
        <v>63.47</v>
      </c>
      <c r="G14" s="1">
        <v>2.7975599999999998</v>
      </c>
      <c r="H14" s="1">
        <v>2.6480000000000001</v>
      </c>
      <c r="I14" s="1">
        <v>0</v>
      </c>
      <c r="J14" s="1">
        <v>2.1999999999999999E-2</v>
      </c>
      <c r="K14" s="1">
        <v>5.1959999999999999E-2</v>
      </c>
      <c r="L14" s="1">
        <v>4.3999999999999997E-2</v>
      </c>
      <c r="M14" s="1">
        <v>3.56</v>
      </c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 spans="1:24" x14ac:dyDescent="0.3">
      <c r="A15" s="1" t="s">
        <v>43</v>
      </c>
      <c r="B15" s="2" t="s">
        <v>39</v>
      </c>
      <c r="C15" s="2">
        <v>400</v>
      </c>
      <c r="D15" s="2">
        <v>4.58</v>
      </c>
      <c r="E15" s="2">
        <v>4.8499999999999996</v>
      </c>
      <c r="F15" s="1">
        <v>65.11</v>
      </c>
      <c r="G15" s="1">
        <v>1.7095899999999999</v>
      </c>
      <c r="H15" s="1">
        <v>1.7290000000000001</v>
      </c>
      <c r="I15" s="1">
        <v>0</v>
      </c>
      <c r="J15" s="1">
        <v>2.1999999999999999E-2</v>
      </c>
      <c r="K15" s="1">
        <v>5.1549999999999999E-2</v>
      </c>
      <c r="L15" s="1">
        <v>0.01</v>
      </c>
      <c r="M15" s="1">
        <v>3.28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 spans="1:24" x14ac:dyDescent="0.3">
      <c r="A16" s="1" t="s">
        <v>13</v>
      </c>
      <c r="B16" s="2" t="s">
        <v>39</v>
      </c>
      <c r="C16" s="2">
        <v>360</v>
      </c>
      <c r="D16" s="2">
        <v>4.43</v>
      </c>
      <c r="E16" s="2">
        <v>4.82</v>
      </c>
      <c r="F16" s="1">
        <v>63.36</v>
      </c>
      <c r="G16" s="1">
        <v>2.4539300000000002</v>
      </c>
      <c r="H16" s="1">
        <v>2.4670000000000001</v>
      </c>
      <c r="I16" s="1">
        <v>0</v>
      </c>
      <c r="J16" s="1">
        <v>2.5999999999999999E-2</v>
      </c>
      <c r="K16" s="1">
        <v>6.2080000000000003E-2</v>
      </c>
      <c r="L16" s="1">
        <v>1.0999999999999999E-2</v>
      </c>
      <c r="M16" s="1">
        <v>4.22</v>
      </c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 spans="1:24" x14ac:dyDescent="0.3">
      <c r="A17" s="1" t="s">
        <v>18</v>
      </c>
      <c r="B17" s="1" t="s">
        <v>39</v>
      </c>
      <c r="C17" s="1">
        <v>400</v>
      </c>
      <c r="D17" s="1">
        <v>4.75</v>
      </c>
      <c r="E17" s="1">
        <v>4.87</v>
      </c>
      <c r="F17" s="1">
        <v>64.38</v>
      </c>
      <c r="G17" s="1">
        <v>2.4208799999999999</v>
      </c>
      <c r="H17" s="1">
        <v>1.849</v>
      </c>
      <c r="I17" s="1">
        <v>0.01</v>
      </c>
      <c r="J17" s="1">
        <v>0.02</v>
      </c>
      <c r="K17" s="1">
        <v>5.126E-2</v>
      </c>
      <c r="L17" s="1">
        <v>1.0999999999999999E-2</v>
      </c>
      <c r="M17" s="1">
        <v>3.4</v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 spans="1:24" x14ac:dyDescent="0.3">
      <c r="A18" s="1" t="s">
        <v>21</v>
      </c>
      <c r="B18" s="1" t="s">
        <v>39</v>
      </c>
      <c r="C18" s="1">
        <v>500</v>
      </c>
      <c r="D18" s="1">
        <v>4.67</v>
      </c>
      <c r="E18" s="1">
        <v>4.87</v>
      </c>
      <c r="F18" s="1">
        <v>63.46</v>
      </c>
      <c r="G18" s="1">
        <v>2.13287</v>
      </c>
      <c r="H18" s="1">
        <v>2.7050000000000001</v>
      </c>
      <c r="I18" s="1">
        <v>0</v>
      </c>
      <c r="J18" s="1">
        <v>1.6E-2</v>
      </c>
      <c r="K18" s="1">
        <v>6.3780000000000003E-2</v>
      </c>
      <c r="L18" s="1">
        <v>1.0999999999999999E-2</v>
      </c>
      <c r="M18" s="1">
        <v>4.21</v>
      </c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 spans="1:24" x14ac:dyDescent="0.3">
      <c r="A19" s="1" t="s">
        <v>24</v>
      </c>
      <c r="B19" s="1" t="s">
        <v>39</v>
      </c>
      <c r="C19" s="1">
        <v>500</v>
      </c>
      <c r="D19" s="1">
        <v>3.25</v>
      </c>
      <c r="E19" s="1">
        <v>4.8600000000000003</v>
      </c>
      <c r="F19" s="1">
        <v>61.63</v>
      </c>
      <c r="G19" s="1">
        <v>2.7192099999999999</v>
      </c>
      <c r="H19" s="1">
        <v>3.53</v>
      </c>
      <c r="I19" s="1">
        <v>0</v>
      </c>
      <c r="J19" s="1">
        <v>1.9E-2</v>
      </c>
      <c r="K19" s="1">
        <v>7.0239999999999997E-2</v>
      </c>
      <c r="L19" s="1">
        <v>1.4999999999999999E-2</v>
      </c>
      <c r="M19" s="1">
        <v>5.39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 spans="1:24" x14ac:dyDescent="0.3">
      <c r="A20" s="1" t="s">
        <v>27</v>
      </c>
      <c r="B20" s="1" t="s">
        <v>39</v>
      </c>
      <c r="C20" s="1">
        <v>440</v>
      </c>
      <c r="D20" s="1">
        <v>4.4000000000000004</v>
      </c>
      <c r="E20" s="1">
        <v>4.83</v>
      </c>
      <c r="F20" s="1">
        <v>63.08</v>
      </c>
      <c r="G20" s="1">
        <v>3.1423899999999998</v>
      </c>
      <c r="H20" s="1">
        <v>3.165</v>
      </c>
      <c r="I20" s="1">
        <v>3.2000000000000001E-2</v>
      </c>
      <c r="J20" s="1">
        <v>2.4E-2</v>
      </c>
      <c r="K20" s="1">
        <v>3.9730000000000001E-2</v>
      </c>
      <c r="L20" s="1">
        <v>6.0000000000000001E-3</v>
      </c>
      <c r="M20" s="1">
        <v>3.3</v>
      </c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 spans="1:24" x14ac:dyDescent="0.3">
      <c r="A21" s="5" t="s">
        <v>30</v>
      </c>
      <c r="B21" s="1" t="s">
        <v>39</v>
      </c>
      <c r="C21" s="1">
        <v>400</v>
      </c>
      <c r="D21" s="1">
        <v>4.3600000000000003</v>
      </c>
      <c r="E21" s="1">
        <v>4.62</v>
      </c>
      <c r="F21" s="1">
        <v>61.38</v>
      </c>
      <c r="G21" s="1">
        <v>3.61273</v>
      </c>
      <c r="H21" s="1">
        <v>3.8330000000000002</v>
      </c>
      <c r="I21" s="1">
        <v>0</v>
      </c>
      <c r="J21" s="1">
        <v>2.5000000000000001E-2</v>
      </c>
      <c r="K21" s="1">
        <v>5.2290000000000003E-2</v>
      </c>
      <c r="L21" s="1">
        <v>2.4E-2</v>
      </c>
      <c r="M21" s="1">
        <v>4.5599999999999996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 spans="1:24" x14ac:dyDescent="0.3">
      <c r="A22" s="1" t="s">
        <v>33</v>
      </c>
      <c r="B22" s="1" t="s">
        <v>39</v>
      </c>
      <c r="C22" s="1">
        <v>400</v>
      </c>
      <c r="D22" s="1">
        <v>4.29</v>
      </c>
      <c r="E22" s="1">
        <v>4.6900000000000004</v>
      </c>
      <c r="F22" s="1">
        <v>62.59</v>
      </c>
      <c r="G22" s="1">
        <v>2.1800799999999998</v>
      </c>
      <c r="H22" s="1">
        <v>2.883</v>
      </c>
      <c r="I22" s="1">
        <v>0</v>
      </c>
      <c r="J22" s="1">
        <v>2.1999999999999999E-2</v>
      </c>
      <c r="K22" s="1">
        <v>6.1990000000000003E-2</v>
      </c>
      <c r="L22" s="1">
        <v>8.8999999999999996E-2</v>
      </c>
      <c r="M22" s="1">
        <v>4.82</v>
      </c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 spans="1:24" x14ac:dyDescent="0.3">
      <c r="A23" s="1" t="s">
        <v>36</v>
      </c>
      <c r="B23" s="2" t="s">
        <v>39</v>
      </c>
      <c r="C23" s="2">
        <v>400</v>
      </c>
      <c r="D23" s="2">
        <v>4.57</v>
      </c>
      <c r="E23" s="2">
        <v>4.8600000000000003</v>
      </c>
      <c r="F23" s="1">
        <v>55.1</v>
      </c>
      <c r="G23" s="1">
        <v>4.3382500000000004</v>
      </c>
      <c r="H23" s="1">
        <v>7.1319999999999997</v>
      </c>
      <c r="I23" s="1">
        <v>8.5000000000000006E-2</v>
      </c>
      <c r="J23" s="1">
        <v>0.03</v>
      </c>
      <c r="K23" s="1">
        <v>0.10680000000000001</v>
      </c>
      <c r="L23" s="1">
        <v>1.7999999999999999E-2</v>
      </c>
      <c r="M23" s="1">
        <v>9.2799999999999994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</sheetData>
  <mergeCells count="16">
    <mergeCell ref="X6:X23"/>
    <mergeCell ref="S6:S23"/>
    <mergeCell ref="T6:T23"/>
    <mergeCell ref="U6:U23"/>
    <mergeCell ref="V6:V23"/>
    <mergeCell ref="W6:W23"/>
    <mergeCell ref="N6:N23"/>
    <mergeCell ref="O6:O23"/>
    <mergeCell ref="P6:P23"/>
    <mergeCell ref="Q6:Q23"/>
    <mergeCell ref="R6:R23"/>
    <mergeCell ref="A3:A4"/>
    <mergeCell ref="B3:B4"/>
    <mergeCell ref="C3:C4"/>
    <mergeCell ref="D3:E3"/>
    <mergeCell ref="F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>
      <selection activeCell="A38" sqref="A38:M38"/>
    </sheetView>
  </sheetViews>
  <sheetFormatPr defaultRowHeight="14.4" x14ac:dyDescent="0.3"/>
  <cols>
    <col min="1" max="1" width="26.5546875" customWidth="1"/>
    <col min="2" max="2" width="11.88671875" bestFit="1" customWidth="1"/>
  </cols>
  <sheetData>
    <row r="1" spans="1:13" x14ac:dyDescent="0.3">
      <c r="A1" s="66" t="s">
        <v>95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x14ac:dyDescent="0.3">
      <c r="A2" s="67" t="s">
        <v>2</v>
      </c>
      <c r="B2" s="69" t="s">
        <v>37</v>
      </c>
      <c r="C2" s="70" t="s">
        <v>38</v>
      </c>
      <c r="D2" s="71" t="s">
        <v>86</v>
      </c>
      <c r="E2" s="71" t="s">
        <v>87</v>
      </c>
      <c r="F2" s="72" t="s">
        <v>4</v>
      </c>
      <c r="G2" s="68"/>
      <c r="H2" s="68"/>
      <c r="I2" s="68"/>
      <c r="J2" s="68"/>
      <c r="K2" s="68"/>
      <c r="L2" s="68"/>
      <c r="M2" s="68"/>
    </row>
    <row r="3" spans="1:13" x14ac:dyDescent="0.3">
      <c r="A3" s="68"/>
      <c r="B3" s="68"/>
      <c r="C3" s="70"/>
      <c r="D3" s="33" t="s">
        <v>88</v>
      </c>
      <c r="E3" s="33" t="s">
        <v>89</v>
      </c>
      <c r="F3" s="34" t="s">
        <v>5</v>
      </c>
      <c r="G3" s="35" t="s">
        <v>6</v>
      </c>
      <c r="H3" s="36" t="s">
        <v>7</v>
      </c>
      <c r="I3" s="37" t="s">
        <v>8</v>
      </c>
      <c r="J3" s="38" t="s">
        <v>9</v>
      </c>
      <c r="K3" s="39" t="s">
        <v>10</v>
      </c>
      <c r="L3" s="40" t="s">
        <v>11</v>
      </c>
      <c r="M3" s="41" t="s">
        <v>12</v>
      </c>
    </row>
    <row r="4" spans="1:13" x14ac:dyDescent="0.3">
      <c r="A4" s="16" t="s">
        <v>64</v>
      </c>
      <c r="B4" s="3" t="s">
        <v>40</v>
      </c>
      <c r="C4" s="3">
        <v>800</v>
      </c>
      <c r="D4" s="17">
        <v>4.59</v>
      </c>
      <c r="E4" s="17">
        <v>95.41</v>
      </c>
      <c r="F4" s="17">
        <v>60.826000000000001</v>
      </c>
      <c r="G4" s="17">
        <v>4.26</v>
      </c>
      <c r="H4" s="17">
        <v>3.8130000000000002</v>
      </c>
      <c r="I4" s="17"/>
      <c r="J4" s="17"/>
      <c r="K4" s="17">
        <v>4.2999999999999997E-2</v>
      </c>
      <c r="L4" s="17"/>
      <c r="M4" s="17">
        <v>4.08</v>
      </c>
    </row>
    <row r="5" spans="1:13" x14ac:dyDescent="0.3">
      <c r="A5" s="16" t="s">
        <v>66</v>
      </c>
      <c r="B5" s="3" t="s">
        <v>40</v>
      </c>
      <c r="C5" s="3">
        <v>1200</v>
      </c>
      <c r="D5" s="17">
        <v>4.83</v>
      </c>
      <c r="E5" s="17">
        <v>95.17</v>
      </c>
      <c r="F5" s="17">
        <v>60.826000000000001</v>
      </c>
      <c r="G5" s="17">
        <v>4.41</v>
      </c>
      <c r="H5" s="17">
        <v>3.8130000000000002</v>
      </c>
      <c r="I5" s="17"/>
      <c r="J5" s="17"/>
      <c r="K5" s="17">
        <v>3.2000000000000001E-2</v>
      </c>
      <c r="L5" s="17"/>
      <c r="M5" s="17">
        <v>4.0199999999999996</v>
      </c>
    </row>
    <row r="6" spans="1:13" x14ac:dyDescent="0.3">
      <c r="A6" s="16" t="s">
        <v>68</v>
      </c>
      <c r="B6" s="3" t="s">
        <v>40</v>
      </c>
      <c r="C6" s="3">
        <v>800</v>
      </c>
      <c r="D6" s="17">
        <v>4.8099999999999996</v>
      </c>
      <c r="E6" s="17">
        <v>95.19</v>
      </c>
      <c r="F6" s="17">
        <v>60.601999999999997</v>
      </c>
      <c r="G6" s="17">
        <v>4.21</v>
      </c>
      <c r="H6" s="17">
        <v>3.548</v>
      </c>
      <c r="I6" s="17"/>
      <c r="J6" s="17"/>
      <c r="K6" s="17">
        <v>4.5999999999999999E-2</v>
      </c>
      <c r="L6" s="17"/>
      <c r="M6" s="17">
        <v>4.8</v>
      </c>
    </row>
    <row r="7" spans="1:13" ht="29.4" thickBot="1" x14ac:dyDescent="0.35">
      <c r="A7" s="45" t="s">
        <v>90</v>
      </c>
      <c r="B7" s="43" t="s">
        <v>40</v>
      </c>
      <c r="C7" s="50">
        <v>24900</v>
      </c>
      <c r="D7" s="49">
        <v>4.7172931726907636</v>
      </c>
      <c r="E7" s="49">
        <v>95.282706827309227</v>
      </c>
      <c r="F7" s="49">
        <v>60.097726907630516</v>
      </c>
      <c r="G7" s="49">
        <v>4.4155529558232933</v>
      </c>
      <c r="H7" s="49">
        <v>4.3253999999999992</v>
      </c>
      <c r="I7" s="49">
        <v>8.3052208835341368E-3</v>
      </c>
      <c r="J7" s="49">
        <v>4.844417670682731E-2</v>
      </c>
      <c r="K7" s="49">
        <v>5.8214208835341383E-2</v>
      </c>
      <c r="L7" s="49">
        <v>4.2270682730923693E-2</v>
      </c>
      <c r="M7" s="49">
        <v>4.9768835341365456</v>
      </c>
    </row>
    <row r="8" spans="1:13" ht="15" thickBot="1" x14ac:dyDescent="0.35">
      <c r="A8" s="64" t="s">
        <v>93</v>
      </c>
      <c r="B8" s="65"/>
      <c r="C8" s="44">
        <f>SUM(C4:C7)</f>
        <v>27700</v>
      </c>
      <c r="D8" s="46">
        <f>SUMPRODUCT($C$4:$C$7,D4:D7)/$C$8</f>
        <v>4.7211768953068596</v>
      </c>
      <c r="E8" s="46">
        <f t="shared" ref="E8:M8" si="0">SUMPRODUCT($C$4:$C$7,E4:E7)/$C$8</f>
        <v>95.278823104693132</v>
      </c>
      <c r="F8" s="46">
        <f t="shared" si="0"/>
        <v>60.164873646209386</v>
      </c>
      <c r="G8" s="46">
        <f t="shared" si="0"/>
        <v>4.4048833429602894</v>
      </c>
      <c r="H8" s="46">
        <f t="shared" si="0"/>
        <v>4.2659516245487357</v>
      </c>
      <c r="I8" s="46">
        <f t="shared" si="0"/>
        <v>7.4657039711191336E-3</v>
      </c>
      <c r="J8" s="46">
        <f t="shared" si="0"/>
        <v>4.354729241877256E-2</v>
      </c>
      <c r="K8" s="46">
        <f t="shared" si="0"/>
        <v>5.6286418772563185E-2</v>
      </c>
      <c r="L8" s="46">
        <f t="shared" si="0"/>
        <v>3.7997833935018051E-2</v>
      </c>
      <c r="M8" s="47">
        <f t="shared" si="0"/>
        <v>4.9044187725631758</v>
      </c>
    </row>
  </sheetData>
  <mergeCells count="7">
    <mergeCell ref="A8:B8"/>
    <mergeCell ref="A1:M1"/>
    <mergeCell ref="A2:A3"/>
    <mergeCell ref="B2:B3"/>
    <mergeCell ref="C2:C3"/>
    <mergeCell ref="D2:E2"/>
    <mergeCell ref="F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6D3D-FB11-4580-88B2-7E6DFAB98F34}">
  <dimension ref="A1:M7"/>
  <sheetViews>
    <sheetView workbookViewId="0">
      <selection activeCell="A38" sqref="A38:M38"/>
    </sheetView>
  </sheetViews>
  <sheetFormatPr defaultRowHeight="14.4" x14ac:dyDescent="0.3"/>
  <cols>
    <col min="1" max="1" width="19" bestFit="1" customWidth="1"/>
    <col min="2" max="2" width="11.88671875" bestFit="1" customWidth="1"/>
  </cols>
  <sheetData>
    <row r="1" spans="1:13" x14ac:dyDescent="0.3">
      <c r="A1" s="66" t="s">
        <v>94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x14ac:dyDescent="0.3">
      <c r="A2" s="67" t="s">
        <v>2</v>
      </c>
      <c r="B2" s="69" t="s">
        <v>37</v>
      </c>
      <c r="C2" s="70" t="s">
        <v>38</v>
      </c>
      <c r="D2" s="71" t="s">
        <v>86</v>
      </c>
      <c r="E2" s="71" t="s">
        <v>87</v>
      </c>
      <c r="F2" s="72" t="s">
        <v>4</v>
      </c>
      <c r="G2" s="68"/>
      <c r="H2" s="68"/>
      <c r="I2" s="68"/>
      <c r="J2" s="68"/>
      <c r="K2" s="68"/>
      <c r="L2" s="68"/>
      <c r="M2" s="68"/>
    </row>
    <row r="3" spans="1:13" x14ac:dyDescent="0.3">
      <c r="A3" s="68"/>
      <c r="B3" s="68"/>
      <c r="C3" s="70"/>
      <c r="D3" s="33" t="s">
        <v>88</v>
      </c>
      <c r="E3" s="33" t="s">
        <v>89</v>
      </c>
      <c r="F3" s="34" t="s">
        <v>5</v>
      </c>
      <c r="G3" s="35" t="s">
        <v>6</v>
      </c>
      <c r="H3" s="36" t="s">
        <v>7</v>
      </c>
      <c r="I3" s="37" t="s">
        <v>8</v>
      </c>
      <c r="J3" s="38" t="s">
        <v>9</v>
      </c>
      <c r="K3" s="39" t="s">
        <v>10</v>
      </c>
      <c r="L3" s="40" t="s">
        <v>11</v>
      </c>
      <c r="M3" s="41" t="s">
        <v>12</v>
      </c>
    </row>
    <row r="4" spans="1:13" x14ac:dyDescent="0.3">
      <c r="A4" s="16" t="s">
        <v>63</v>
      </c>
      <c r="B4" s="3" t="s">
        <v>39</v>
      </c>
      <c r="C4" s="3">
        <v>200</v>
      </c>
      <c r="D4" s="17">
        <v>4.63</v>
      </c>
      <c r="E4" s="17">
        <v>4.88</v>
      </c>
      <c r="F4" s="17">
        <v>63.509</v>
      </c>
      <c r="G4" s="17">
        <v>2.74</v>
      </c>
      <c r="H4" s="17">
        <v>2.4670000000000001</v>
      </c>
      <c r="I4" s="17"/>
      <c r="J4" s="17"/>
      <c r="K4" s="17">
        <v>3.2000000000000001E-2</v>
      </c>
      <c r="L4" s="17"/>
      <c r="M4" s="17">
        <v>3.59</v>
      </c>
    </row>
    <row r="5" spans="1:13" ht="58.2" thickBot="1" x14ac:dyDescent="0.35">
      <c r="A5" s="42" t="s">
        <v>91</v>
      </c>
      <c r="B5" s="43" t="s">
        <v>39</v>
      </c>
      <c r="C5" s="43">
        <v>6800</v>
      </c>
      <c r="D5" s="49">
        <v>4.2973235294117647</v>
      </c>
      <c r="E5" s="49">
        <v>4.7854999999999999</v>
      </c>
      <c r="F5" s="49">
        <v>62.074867647058831</v>
      </c>
      <c r="G5" s="49">
        <v>3.1387196176470584</v>
      </c>
      <c r="H5" s="49">
        <v>3.2563852941176474</v>
      </c>
      <c r="I5" s="49">
        <v>7.6588235294117648E-3</v>
      </c>
      <c r="J5" s="49">
        <v>2.0488235294117647E-2</v>
      </c>
      <c r="K5" s="49">
        <v>5.5937794117647072E-2</v>
      </c>
      <c r="L5" s="49">
        <v>2.1441176470588234E-2</v>
      </c>
      <c r="M5" s="49">
        <v>4.5441470588235298</v>
      </c>
    </row>
    <row r="6" spans="1:13" ht="15" thickBot="1" x14ac:dyDescent="0.35">
      <c r="A6" s="1"/>
      <c r="B6" s="44" t="s">
        <v>92</v>
      </c>
      <c r="C6" s="48">
        <f>SUM(C2:C5)</f>
        <v>7000</v>
      </c>
      <c r="D6" s="51">
        <f>SUMPRODUCT($C$4:$C$5,D4:D5)/$C$6</f>
        <v>4.3068285714285715</v>
      </c>
      <c r="E6" s="51">
        <f t="shared" ref="E6:M6" si="0">SUMPRODUCT($C$4:$C$5,E4:E5)/$C$6</f>
        <v>4.7881999999999989</v>
      </c>
      <c r="F6" s="51">
        <f t="shared" si="0"/>
        <v>62.115842857142859</v>
      </c>
      <c r="G6" s="51">
        <f t="shared" si="0"/>
        <v>3.1273276285714284</v>
      </c>
      <c r="H6" s="51">
        <f t="shared" si="0"/>
        <v>3.2338314285714289</v>
      </c>
      <c r="I6" s="51">
        <f t="shared" si="0"/>
        <v>7.4399999999999996E-3</v>
      </c>
      <c r="J6" s="51">
        <f t="shared" si="0"/>
        <v>1.9902857142857142E-2</v>
      </c>
      <c r="K6" s="51">
        <f t="shared" si="0"/>
        <v>5.5253857142857146E-2</v>
      </c>
      <c r="L6" s="51">
        <f t="shared" si="0"/>
        <v>2.0828571428571425E-2</v>
      </c>
      <c r="M6" s="52">
        <f t="shared" si="0"/>
        <v>4.5168857142857144</v>
      </c>
    </row>
    <row r="7" spans="1:13" x14ac:dyDescent="0.3"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</row>
  </sheetData>
  <mergeCells count="6">
    <mergeCell ref="A1:M1"/>
    <mergeCell ref="A2:A3"/>
    <mergeCell ref="B2:B3"/>
    <mergeCell ref="C2:C3"/>
    <mergeCell ref="D2:E2"/>
    <mergeCell ref="F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3566-59D3-4C78-87DC-2BC37584C3DB}">
  <dimension ref="A1"/>
  <sheetViews>
    <sheetView workbookViewId="0">
      <selection activeCell="A38" sqref="A38:M3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Production Sample</vt:lpstr>
      <vt:lpstr>Product(June)_Fines</vt:lpstr>
      <vt:lpstr>Product(June)_CLO</vt:lpstr>
      <vt:lpstr>Fines Blending(June'25)</vt:lpstr>
      <vt:lpstr>CLO Blending(June'25)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OMKAR NARAYAN BEHERA .</cp:lastModifiedBy>
  <dcterms:created xsi:type="dcterms:W3CDTF">2025-06-11T03:31:22Z</dcterms:created>
  <dcterms:modified xsi:type="dcterms:W3CDTF">2025-12-03T17:41:58Z</dcterms:modified>
</cp:coreProperties>
</file>