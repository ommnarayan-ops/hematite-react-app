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_WILP\4th SEM\Project\Base Data\"/>
    </mc:Choice>
  </mc:AlternateContent>
  <xr:revisionPtr revIDLastSave="0" documentId="13_ncr:1_{216E23EE-AA64-40A3-A0C2-F39969D0E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Analysis" sheetId="1" r:id="rId1"/>
    <sheet name="Retest" sheetId="2" r:id="rId2"/>
    <sheet name="Replicate" sheetId="3" r:id="rId3"/>
    <sheet name="Retain" sheetId="4" r:id="rId4"/>
  </sheets>
  <definedNames>
    <definedName name="_xlnm._FilterDatabase" localSheetId="0" hidden="1">'Sample Analysis'!$A$5:$AC$70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G10" i="4"/>
  <c r="G74" i="1" l="1"/>
  <c r="G73" i="1"/>
  <c r="T6" i="1"/>
  <c r="U6" i="1"/>
  <c r="V6" i="1"/>
  <c r="W6" i="1"/>
  <c r="X6" i="1"/>
  <c r="Y6" i="1"/>
  <c r="Z6" i="1"/>
  <c r="AA6" i="1"/>
  <c r="AB6" i="1"/>
  <c r="AC6" i="1"/>
  <c r="T7" i="1"/>
  <c r="U7" i="1"/>
  <c r="V7" i="1"/>
  <c r="W7" i="1"/>
  <c r="X7" i="1"/>
  <c r="Y7" i="1"/>
  <c r="Z7" i="1"/>
  <c r="AA7" i="1"/>
  <c r="AB7" i="1"/>
  <c r="AC7" i="1"/>
  <c r="T8" i="1"/>
  <c r="U8" i="1"/>
  <c r="V8" i="1"/>
  <c r="W8" i="1"/>
  <c r="X8" i="1"/>
  <c r="Y8" i="1"/>
  <c r="Z8" i="1"/>
  <c r="AA8" i="1"/>
  <c r="AB8" i="1"/>
  <c r="AC8" i="1"/>
  <c r="T9" i="1"/>
  <c r="U9" i="1"/>
  <c r="V9" i="1"/>
  <c r="W9" i="1"/>
  <c r="X9" i="1"/>
  <c r="Y9" i="1"/>
  <c r="Z9" i="1"/>
  <c r="AA9" i="1"/>
  <c r="AB9" i="1"/>
  <c r="AC9" i="1"/>
  <c r="T10" i="1"/>
  <c r="U10" i="1"/>
  <c r="V10" i="1"/>
  <c r="W10" i="1"/>
  <c r="X10" i="1"/>
  <c r="Y10" i="1"/>
  <c r="Z10" i="1"/>
  <c r="AA10" i="1"/>
  <c r="AB10" i="1"/>
  <c r="AC10" i="1"/>
  <c r="T11" i="1"/>
  <c r="U11" i="1"/>
  <c r="V11" i="1"/>
  <c r="W11" i="1"/>
  <c r="X11" i="1"/>
  <c r="Y11" i="1"/>
  <c r="Z11" i="1"/>
  <c r="AA11" i="1"/>
  <c r="AB11" i="1"/>
  <c r="AC11" i="1"/>
  <c r="T12" i="1"/>
  <c r="U12" i="1"/>
  <c r="V12" i="1"/>
  <c r="W12" i="1"/>
  <c r="X12" i="1"/>
  <c r="Y12" i="1"/>
  <c r="Z12" i="1"/>
  <c r="AA12" i="1"/>
  <c r="AB12" i="1"/>
  <c r="AC12" i="1"/>
  <c r="T13" i="1"/>
  <c r="U13" i="1"/>
  <c r="V13" i="1"/>
  <c r="W13" i="1"/>
  <c r="X13" i="1"/>
  <c r="Y13" i="1"/>
  <c r="Z13" i="1"/>
  <c r="AA13" i="1"/>
  <c r="AB13" i="1"/>
  <c r="AC13" i="1"/>
  <c r="T14" i="1"/>
  <c r="U14" i="1"/>
  <c r="V14" i="1"/>
  <c r="W14" i="1"/>
  <c r="X14" i="1"/>
  <c r="Y14" i="1"/>
  <c r="Z14" i="1"/>
  <c r="AA14" i="1"/>
  <c r="AB14" i="1"/>
  <c r="AC14" i="1"/>
  <c r="T15" i="1"/>
  <c r="U15" i="1"/>
  <c r="V15" i="1"/>
  <c r="W15" i="1"/>
  <c r="X15" i="1"/>
  <c r="Y15" i="1"/>
  <c r="Z15" i="1"/>
  <c r="AA15" i="1"/>
  <c r="AB15" i="1"/>
  <c r="AC15" i="1"/>
  <c r="T16" i="1"/>
  <c r="U16" i="1"/>
  <c r="V16" i="1"/>
  <c r="W16" i="1"/>
  <c r="X16" i="1"/>
  <c r="Y16" i="1"/>
  <c r="Z16" i="1"/>
  <c r="AA16" i="1"/>
  <c r="AB16" i="1"/>
  <c r="AC16" i="1"/>
  <c r="T17" i="1"/>
  <c r="U17" i="1"/>
  <c r="V17" i="1"/>
  <c r="W17" i="1"/>
  <c r="X17" i="1"/>
  <c r="Y17" i="1"/>
  <c r="Z17" i="1"/>
  <c r="AA17" i="1"/>
  <c r="AB17" i="1"/>
  <c r="AC17" i="1"/>
  <c r="T18" i="1"/>
  <c r="U18" i="1"/>
  <c r="V18" i="1"/>
  <c r="W18" i="1"/>
  <c r="X18" i="1"/>
  <c r="Y18" i="1"/>
  <c r="Z18" i="1"/>
  <c r="AA18" i="1"/>
  <c r="AB18" i="1"/>
  <c r="AC18" i="1"/>
  <c r="T19" i="1"/>
  <c r="U19" i="1"/>
  <c r="V19" i="1"/>
  <c r="W19" i="1"/>
  <c r="X19" i="1"/>
  <c r="Y19" i="1"/>
  <c r="Z19" i="1"/>
  <c r="AA19" i="1"/>
  <c r="AB19" i="1"/>
  <c r="AC19" i="1"/>
  <c r="T20" i="1"/>
  <c r="U20" i="1"/>
  <c r="V20" i="1"/>
  <c r="W20" i="1"/>
  <c r="X20" i="1"/>
  <c r="Y20" i="1"/>
  <c r="Z20" i="1"/>
  <c r="AA20" i="1"/>
  <c r="AB20" i="1"/>
  <c r="AC20" i="1"/>
  <c r="T21" i="1"/>
  <c r="U21" i="1"/>
  <c r="V21" i="1"/>
  <c r="W21" i="1"/>
  <c r="X21" i="1"/>
  <c r="Y21" i="1"/>
  <c r="Z21" i="1"/>
  <c r="AA21" i="1"/>
  <c r="AB21" i="1"/>
  <c r="AC21" i="1"/>
  <c r="T22" i="1"/>
  <c r="U22" i="1"/>
  <c r="V22" i="1"/>
  <c r="W22" i="1"/>
  <c r="X22" i="1"/>
  <c r="Y22" i="1"/>
  <c r="Z22" i="1"/>
  <c r="AA22" i="1"/>
  <c r="AB22" i="1"/>
  <c r="AC22" i="1"/>
  <c r="T23" i="1"/>
  <c r="U23" i="1"/>
  <c r="V23" i="1"/>
  <c r="W23" i="1"/>
  <c r="X23" i="1"/>
  <c r="Y23" i="1"/>
  <c r="Z23" i="1"/>
  <c r="AA23" i="1"/>
  <c r="AB23" i="1"/>
  <c r="AC23" i="1"/>
  <c r="T25" i="1"/>
  <c r="U25" i="1"/>
  <c r="V25" i="1"/>
  <c r="W25" i="1"/>
  <c r="X25" i="1"/>
  <c r="Y25" i="1"/>
  <c r="Z25" i="1"/>
  <c r="AA25" i="1"/>
  <c r="AB25" i="1"/>
  <c r="AC25" i="1"/>
  <c r="T26" i="1"/>
  <c r="U26" i="1"/>
  <c r="V26" i="1"/>
  <c r="W26" i="1"/>
  <c r="X26" i="1"/>
  <c r="Y26" i="1"/>
  <c r="Z26" i="1"/>
  <c r="AA26" i="1"/>
  <c r="AB26" i="1"/>
  <c r="AC26" i="1"/>
  <c r="T27" i="1"/>
  <c r="U27" i="1"/>
  <c r="V27" i="1"/>
  <c r="W27" i="1"/>
  <c r="X27" i="1"/>
  <c r="Y27" i="1"/>
  <c r="Z27" i="1"/>
  <c r="AA27" i="1"/>
  <c r="AB27" i="1"/>
  <c r="AC27" i="1"/>
  <c r="T28" i="1"/>
  <c r="U28" i="1"/>
  <c r="V28" i="1"/>
  <c r="W28" i="1"/>
  <c r="X28" i="1"/>
  <c r="Y28" i="1"/>
  <c r="Z28" i="1"/>
  <c r="AA28" i="1"/>
  <c r="AB28" i="1"/>
  <c r="AC28" i="1"/>
  <c r="T29" i="1"/>
  <c r="U29" i="1"/>
  <c r="V29" i="1"/>
  <c r="W29" i="1"/>
  <c r="X29" i="1"/>
  <c r="Y29" i="1"/>
  <c r="Z29" i="1"/>
  <c r="AA29" i="1"/>
  <c r="AB29" i="1"/>
  <c r="AC29" i="1"/>
  <c r="T30" i="1"/>
  <c r="U30" i="1"/>
  <c r="V30" i="1"/>
  <c r="W30" i="1"/>
  <c r="X30" i="1"/>
  <c r="Y30" i="1"/>
  <c r="Z30" i="1"/>
  <c r="AA30" i="1"/>
  <c r="AB30" i="1"/>
  <c r="AC30" i="1"/>
  <c r="T31" i="1"/>
  <c r="U31" i="1"/>
  <c r="V31" i="1"/>
  <c r="W31" i="1"/>
  <c r="X31" i="1"/>
  <c r="Y31" i="1"/>
  <c r="Z31" i="1"/>
  <c r="AA31" i="1"/>
  <c r="AB31" i="1"/>
  <c r="AC31" i="1"/>
  <c r="T32" i="1"/>
  <c r="U32" i="1"/>
  <c r="V32" i="1"/>
  <c r="W32" i="1"/>
  <c r="X32" i="1"/>
  <c r="Y32" i="1"/>
  <c r="Z32" i="1"/>
  <c r="AA32" i="1"/>
  <c r="AB32" i="1"/>
  <c r="AC32" i="1"/>
  <c r="T33" i="1"/>
  <c r="U33" i="1"/>
  <c r="V33" i="1"/>
  <c r="W33" i="1"/>
  <c r="X33" i="1"/>
  <c r="AA33" i="1"/>
  <c r="AC33" i="1"/>
  <c r="T34" i="1"/>
  <c r="U34" i="1"/>
  <c r="V34" i="1"/>
  <c r="W34" i="1"/>
  <c r="X34" i="1"/>
  <c r="AA34" i="1"/>
  <c r="AC34" i="1"/>
  <c r="T35" i="1"/>
  <c r="U35" i="1"/>
  <c r="V35" i="1"/>
  <c r="W35" i="1"/>
  <c r="X35" i="1"/>
  <c r="AA35" i="1"/>
  <c r="AC35" i="1"/>
  <c r="T36" i="1"/>
  <c r="U36" i="1"/>
  <c r="V36" i="1"/>
  <c r="W36" i="1"/>
  <c r="X36" i="1"/>
  <c r="AA36" i="1"/>
  <c r="AC36" i="1"/>
  <c r="T37" i="1"/>
  <c r="U37" i="1"/>
  <c r="V37" i="1"/>
  <c r="W37" i="1"/>
  <c r="X37" i="1"/>
  <c r="Y37" i="1"/>
  <c r="Z37" i="1"/>
  <c r="AA37" i="1"/>
  <c r="AB37" i="1"/>
  <c r="AC37" i="1"/>
  <c r="T38" i="1"/>
  <c r="U38" i="1"/>
  <c r="V38" i="1"/>
  <c r="W38" i="1"/>
  <c r="X38" i="1"/>
  <c r="Y38" i="1"/>
  <c r="Z38" i="1"/>
  <c r="AA38" i="1"/>
  <c r="AB38" i="1"/>
  <c r="AC38" i="1"/>
  <c r="T39" i="1"/>
  <c r="U39" i="1"/>
  <c r="V39" i="1"/>
  <c r="W39" i="1"/>
  <c r="X39" i="1"/>
  <c r="Y39" i="1"/>
  <c r="Z39" i="1"/>
  <c r="AA39" i="1"/>
  <c r="AB39" i="1"/>
  <c r="AC39" i="1"/>
  <c r="T40" i="1"/>
  <c r="U40" i="1"/>
  <c r="V40" i="1"/>
  <c r="W40" i="1"/>
  <c r="X40" i="1"/>
  <c r="Y40" i="1"/>
  <c r="Z40" i="1"/>
  <c r="AA40" i="1"/>
  <c r="AB40" i="1"/>
  <c r="AC40" i="1"/>
  <c r="T41" i="1"/>
  <c r="U41" i="1"/>
  <c r="V41" i="1"/>
  <c r="W41" i="1"/>
  <c r="X41" i="1"/>
  <c r="Y41" i="1"/>
  <c r="Z41" i="1"/>
  <c r="AA41" i="1"/>
  <c r="AB41" i="1"/>
  <c r="AC41" i="1"/>
  <c r="T42" i="1"/>
  <c r="U42" i="1"/>
  <c r="V42" i="1"/>
  <c r="W42" i="1"/>
  <c r="X42" i="1"/>
  <c r="Y42" i="1"/>
  <c r="Z42" i="1"/>
  <c r="AA42" i="1"/>
  <c r="AB42" i="1"/>
  <c r="AC42" i="1"/>
  <c r="T43" i="1"/>
  <c r="U43" i="1"/>
  <c r="V43" i="1"/>
  <c r="W43" i="1"/>
  <c r="X43" i="1"/>
  <c r="Y43" i="1"/>
  <c r="Z43" i="1"/>
  <c r="AA43" i="1"/>
  <c r="AB43" i="1"/>
  <c r="AC43" i="1"/>
  <c r="T44" i="1"/>
  <c r="U44" i="1"/>
  <c r="V44" i="1"/>
  <c r="W44" i="1"/>
  <c r="X44" i="1"/>
  <c r="Y44" i="1"/>
  <c r="Z44" i="1"/>
  <c r="AA44" i="1"/>
  <c r="AB44" i="1"/>
  <c r="AC44" i="1"/>
  <c r="T45" i="1"/>
  <c r="U45" i="1"/>
  <c r="V45" i="1"/>
  <c r="W45" i="1"/>
  <c r="X45" i="1"/>
  <c r="Y45" i="1"/>
  <c r="Z45" i="1"/>
  <c r="AA45" i="1"/>
  <c r="AB45" i="1"/>
  <c r="AC45" i="1"/>
  <c r="T46" i="1"/>
  <c r="U46" i="1"/>
  <c r="V46" i="1"/>
  <c r="W46" i="1"/>
  <c r="X46" i="1"/>
  <c r="Y46" i="1"/>
  <c r="Z46" i="1"/>
  <c r="AA46" i="1"/>
  <c r="AB46" i="1"/>
  <c r="AC46" i="1"/>
  <c r="T47" i="1"/>
  <c r="U47" i="1"/>
  <c r="V47" i="1"/>
  <c r="W47" i="1"/>
  <c r="X47" i="1"/>
  <c r="Y47" i="1"/>
  <c r="Z47" i="1"/>
  <c r="AA47" i="1"/>
  <c r="AB47" i="1"/>
  <c r="AC47" i="1"/>
  <c r="T48" i="1"/>
  <c r="U48" i="1"/>
  <c r="V48" i="1"/>
  <c r="W48" i="1"/>
  <c r="X48" i="1"/>
  <c r="Y48" i="1"/>
  <c r="Z48" i="1"/>
  <c r="AA48" i="1"/>
  <c r="AB48" i="1"/>
  <c r="AC48" i="1"/>
  <c r="T49" i="1"/>
  <c r="U49" i="1"/>
  <c r="V49" i="1"/>
  <c r="W49" i="1"/>
  <c r="X49" i="1"/>
  <c r="Y49" i="1"/>
  <c r="Z49" i="1"/>
  <c r="AA49" i="1"/>
  <c r="AB49" i="1"/>
  <c r="AC49" i="1"/>
  <c r="T50" i="1"/>
  <c r="U50" i="1"/>
  <c r="V50" i="1"/>
  <c r="W50" i="1"/>
  <c r="X50" i="1"/>
  <c r="Y50" i="1"/>
  <c r="Z50" i="1"/>
  <c r="AA50" i="1"/>
  <c r="AB50" i="1"/>
  <c r="AC50" i="1"/>
  <c r="T51" i="1"/>
  <c r="U51" i="1"/>
  <c r="V51" i="1"/>
  <c r="W51" i="1"/>
  <c r="X51" i="1"/>
  <c r="Y51" i="1"/>
  <c r="Z51" i="1"/>
  <c r="AA51" i="1"/>
  <c r="AB51" i="1"/>
  <c r="AC51" i="1"/>
  <c r="T52" i="1"/>
  <c r="U52" i="1"/>
  <c r="V52" i="1"/>
  <c r="W52" i="1"/>
  <c r="X52" i="1"/>
  <c r="Y52" i="1"/>
  <c r="Z52" i="1"/>
  <c r="AA52" i="1"/>
  <c r="AB52" i="1"/>
  <c r="AC52" i="1"/>
  <c r="T53" i="1"/>
  <c r="U53" i="1"/>
  <c r="V53" i="1"/>
  <c r="W53" i="1"/>
  <c r="X53" i="1"/>
  <c r="Y53" i="1"/>
  <c r="Z53" i="1"/>
  <c r="AA53" i="1"/>
  <c r="AB53" i="1"/>
  <c r="AC53" i="1"/>
  <c r="T54" i="1"/>
  <c r="U54" i="1"/>
  <c r="V54" i="1"/>
  <c r="W54" i="1"/>
  <c r="X54" i="1"/>
  <c r="Y54" i="1"/>
  <c r="Z54" i="1"/>
  <c r="AA54" i="1"/>
  <c r="AB54" i="1"/>
  <c r="AC54" i="1"/>
  <c r="T55" i="1"/>
  <c r="U55" i="1"/>
  <c r="V55" i="1"/>
  <c r="W55" i="1"/>
  <c r="X55" i="1"/>
  <c r="Y55" i="1"/>
  <c r="Z55" i="1"/>
  <c r="AA55" i="1"/>
  <c r="AB55" i="1"/>
  <c r="AC55" i="1"/>
  <c r="T56" i="1"/>
  <c r="U56" i="1"/>
  <c r="V56" i="1"/>
  <c r="W56" i="1"/>
  <c r="X56" i="1"/>
  <c r="Y56" i="1"/>
  <c r="Z56" i="1"/>
  <c r="AA56" i="1"/>
  <c r="AB56" i="1"/>
  <c r="AC56" i="1"/>
  <c r="T57" i="1"/>
  <c r="U57" i="1"/>
  <c r="V57" i="1"/>
  <c r="W57" i="1"/>
  <c r="X57" i="1"/>
  <c r="Y57" i="1"/>
  <c r="Z57" i="1"/>
  <c r="AA57" i="1"/>
  <c r="AB57" i="1"/>
  <c r="AC57" i="1"/>
  <c r="T58" i="1"/>
  <c r="U58" i="1"/>
  <c r="V58" i="1"/>
  <c r="W58" i="1"/>
  <c r="X58" i="1"/>
  <c r="Y58" i="1"/>
  <c r="Z58" i="1"/>
  <c r="AA58" i="1"/>
  <c r="AB58" i="1"/>
  <c r="AC58" i="1"/>
  <c r="T59" i="1"/>
  <c r="U59" i="1"/>
  <c r="V59" i="1"/>
  <c r="W59" i="1"/>
  <c r="X59" i="1"/>
  <c r="Y59" i="1"/>
  <c r="Z59" i="1"/>
  <c r="AA59" i="1"/>
  <c r="AB59" i="1"/>
  <c r="AC59" i="1"/>
  <c r="T60" i="1"/>
  <c r="U60" i="1"/>
  <c r="V60" i="1"/>
  <c r="W60" i="1"/>
  <c r="X60" i="1"/>
  <c r="Y60" i="1"/>
  <c r="Z60" i="1"/>
  <c r="AA60" i="1"/>
  <c r="AB60" i="1"/>
  <c r="AC60" i="1"/>
  <c r="T61" i="1"/>
  <c r="U61" i="1"/>
  <c r="V61" i="1"/>
  <c r="W61" i="1"/>
  <c r="X61" i="1"/>
  <c r="Y61" i="1"/>
  <c r="Z61" i="1"/>
  <c r="AA61" i="1"/>
  <c r="AB61" i="1"/>
  <c r="AC61" i="1"/>
  <c r="T62" i="1"/>
  <c r="U62" i="1"/>
  <c r="V62" i="1"/>
  <c r="W62" i="1"/>
  <c r="X62" i="1"/>
  <c r="Y62" i="1"/>
  <c r="Z62" i="1"/>
  <c r="AA62" i="1"/>
  <c r="AB62" i="1"/>
  <c r="AC62" i="1"/>
  <c r="T63" i="1"/>
  <c r="U63" i="1"/>
  <c r="V63" i="1"/>
  <c r="W63" i="1"/>
  <c r="X63" i="1"/>
  <c r="Y63" i="1"/>
  <c r="Z63" i="1"/>
  <c r="AA63" i="1"/>
  <c r="AB63" i="1"/>
  <c r="AC63" i="1"/>
  <c r="T64" i="1"/>
  <c r="U64" i="1"/>
  <c r="V64" i="1"/>
  <c r="W64" i="1"/>
  <c r="X64" i="1"/>
  <c r="Y64" i="1"/>
  <c r="Z64" i="1"/>
  <c r="AA64" i="1"/>
  <c r="AB64" i="1"/>
  <c r="AC64" i="1"/>
  <c r="T65" i="1"/>
  <c r="U65" i="1"/>
  <c r="V65" i="1"/>
  <c r="W65" i="1"/>
  <c r="X65" i="1"/>
  <c r="Y65" i="1"/>
  <c r="Z65" i="1"/>
  <c r="AA65" i="1"/>
  <c r="AB65" i="1"/>
  <c r="AC65" i="1"/>
  <c r="T66" i="1"/>
  <c r="U66" i="1"/>
  <c r="V66" i="1"/>
  <c r="W66" i="1"/>
  <c r="X66" i="1"/>
  <c r="Y66" i="1"/>
  <c r="Z66" i="1"/>
  <c r="AA66" i="1"/>
  <c r="AB66" i="1"/>
  <c r="AC66" i="1"/>
  <c r="T67" i="1"/>
  <c r="U67" i="1"/>
  <c r="V67" i="1"/>
  <c r="W67" i="1"/>
  <c r="X67" i="1"/>
  <c r="Y67" i="1"/>
  <c r="Z67" i="1"/>
  <c r="AA67" i="1"/>
  <c r="AB67" i="1"/>
  <c r="AC67" i="1"/>
  <c r="T68" i="1"/>
  <c r="U68" i="1"/>
  <c r="V68" i="1"/>
  <c r="W68" i="1"/>
  <c r="X68" i="1"/>
  <c r="Y68" i="1"/>
  <c r="Z68" i="1"/>
  <c r="AA68" i="1"/>
  <c r="AB68" i="1"/>
  <c r="AC68" i="1"/>
  <c r="T69" i="1"/>
  <c r="U69" i="1"/>
  <c r="V69" i="1"/>
  <c r="W69" i="1"/>
  <c r="X69" i="1"/>
  <c r="Y69" i="1"/>
  <c r="Z69" i="1"/>
  <c r="AA69" i="1"/>
  <c r="AB69" i="1"/>
  <c r="AC69" i="1"/>
  <c r="T70" i="1"/>
  <c r="U70" i="1"/>
  <c r="V70" i="1"/>
  <c r="W70" i="1"/>
  <c r="X70" i="1"/>
  <c r="Y70" i="1"/>
  <c r="Z70" i="1"/>
  <c r="AA70" i="1"/>
  <c r="AB70" i="1"/>
  <c r="AC70" i="1"/>
  <c r="AB24" i="1"/>
  <c r="AC24" i="1"/>
  <c r="W24" i="1"/>
  <c r="X24" i="1"/>
  <c r="Y24" i="1"/>
  <c r="Z24" i="1"/>
  <c r="AA24" i="1"/>
  <c r="V24" i="1"/>
  <c r="U24" i="1"/>
  <c r="T24" i="1"/>
  <c r="W73" i="1" l="1"/>
  <c r="AA74" i="1"/>
  <c r="O74" i="1" s="1"/>
  <c r="V73" i="1"/>
  <c r="J73" i="1" s="1"/>
  <c r="AB74" i="1"/>
  <c r="P74" i="1" s="1"/>
  <c r="U73" i="1"/>
  <c r="I73" i="1" s="1"/>
  <c r="Y73" i="1"/>
  <c r="M73" i="1" s="1"/>
  <c r="X73" i="1"/>
  <c r="L73" i="1" s="1"/>
  <c r="T73" i="1"/>
  <c r="H73" i="1" s="1"/>
  <c r="AC74" i="1"/>
  <c r="Q74" i="1" s="1"/>
  <c r="Z74" i="1"/>
  <c r="N74" i="1" s="1"/>
  <c r="Y74" i="1"/>
  <c r="M74" i="1" s="1"/>
  <c r="AC73" i="1"/>
  <c r="Q73" i="1" s="1"/>
  <c r="W74" i="1"/>
  <c r="K74" i="1" s="1"/>
  <c r="V74" i="1"/>
  <c r="J74" i="1" s="1"/>
  <c r="T74" i="1"/>
  <c r="H74" i="1" s="1"/>
  <c r="AB73" i="1"/>
  <c r="P73" i="1" s="1"/>
  <c r="AA73" i="1"/>
  <c r="O73" i="1" s="1"/>
  <c r="U74" i="1"/>
  <c r="I74" i="1" s="1"/>
  <c r="Z73" i="1"/>
  <c r="N73" i="1" s="1"/>
  <c r="X74" i="1"/>
  <c r="L74" i="1" s="1"/>
  <c r="K73" i="1"/>
</calcChain>
</file>

<file path=xl/sharedStrings.xml><?xml version="1.0" encoding="utf-8"?>
<sst xmlns="http://schemas.openxmlformats.org/spreadsheetml/2006/main" count="483" uniqueCount="131">
  <si>
    <t>Inspection and Analysis Report</t>
  </si>
  <si>
    <t xml:space="preserve">CARGO DESCRIBED AS: </t>
  </si>
  <si>
    <t>IRON</t>
  </si>
  <si>
    <t xml:space="preserve">NAME OF CLIENT: </t>
  </si>
  <si>
    <t>M/S ODISHA MINING CORPORATION LTD</t>
  </si>
  <si>
    <t xml:space="preserve">SOURCE: </t>
  </si>
  <si>
    <t>BANSPANI MINE</t>
  </si>
  <si>
    <t xml:space="preserve">NATURE OF WORK: </t>
  </si>
  <si>
    <t>PRODUCT SAMPLE</t>
  </si>
  <si>
    <t xml:space="preserve">SAMPLE TYPE: </t>
  </si>
  <si>
    <t>REGULAR</t>
  </si>
  <si>
    <t>Test Parameter</t>
  </si>
  <si>
    <t>Test Protocol</t>
  </si>
  <si>
    <t>Sr. no.</t>
  </si>
  <si>
    <t>Sample ID</t>
  </si>
  <si>
    <t xml:space="preserve">              Lab Sample ID                </t>
  </si>
  <si>
    <t>Analysis
Received Date</t>
  </si>
  <si>
    <t>Analysis
Completion Date</t>
  </si>
  <si>
    <t>Preparation
Received Date</t>
  </si>
  <si>
    <t>Preparation
Released Date</t>
  </si>
  <si>
    <t>Field
Received Date</t>
  </si>
  <si>
    <t>Field
Released Date</t>
  </si>
  <si>
    <t>Production On</t>
  </si>
  <si>
    <t>Field-Shift</t>
  </si>
  <si>
    <t xml:space="preserve">    Location   </t>
  </si>
  <si>
    <t>Name Of Scr Plant</t>
  </si>
  <si>
    <t>Product Size</t>
  </si>
  <si>
    <t>Representative
Lot Qty</t>
  </si>
  <si>
    <t>Total
Product Qty</t>
  </si>
  <si>
    <t>Size Analysis</t>
  </si>
  <si>
    <t>'O' Size</t>
  </si>
  <si>
    <t>'U' Size</t>
  </si>
  <si>
    <t>Results</t>
  </si>
  <si>
    <t>Fe</t>
  </si>
  <si>
    <t>SiO2</t>
  </si>
  <si>
    <t>Al2O3</t>
  </si>
  <si>
    <t>Na2O</t>
  </si>
  <si>
    <t>K2O</t>
  </si>
  <si>
    <t>S</t>
  </si>
  <si>
    <t>P</t>
  </si>
  <si>
    <t>MnO</t>
  </si>
  <si>
    <t>LOI</t>
  </si>
  <si>
    <t>M</t>
  </si>
  <si>
    <t>Field Comments</t>
  </si>
  <si>
    <t>SPU Comments</t>
  </si>
  <si>
    <t>Lab Comments</t>
  </si>
  <si>
    <t>1</t>
  </si>
  <si>
    <t/>
  </si>
  <si>
    <t>25-08-2025</t>
  </si>
  <si>
    <t>C</t>
  </si>
  <si>
    <t>Banspani Mines</t>
  </si>
  <si>
    <t xml:space="preserve">Propel plant </t>
  </si>
  <si>
    <t>10 - 40 mm</t>
  </si>
  <si>
    <t>2</t>
  </si>
  <si>
    <t xml:space="preserve">Fixed plant </t>
  </si>
  <si>
    <t>Fines</t>
  </si>
  <si>
    <t>1000</t>
  </si>
  <si>
    <t>4.75</t>
  </si>
  <si>
    <t>24-08-2025</t>
  </si>
  <si>
    <t xml:space="preserve">Propel plant and Fixed plant </t>
  </si>
  <si>
    <t>21-08-2025</t>
  </si>
  <si>
    <t>200</t>
  </si>
  <si>
    <t>800</t>
  </si>
  <si>
    <t>20-08-2025</t>
  </si>
  <si>
    <t xml:space="preserve">Extec </t>
  </si>
  <si>
    <t xml:space="preserve">Extec plant </t>
  </si>
  <si>
    <t>19-08-2025</t>
  </si>
  <si>
    <t>18-08-2025</t>
  </si>
  <si>
    <t>Fixed Plant</t>
  </si>
  <si>
    <t>Ds 18.8.25</t>
  </si>
  <si>
    <t>16-08-2025</t>
  </si>
  <si>
    <t>Ds 16.8.25</t>
  </si>
  <si>
    <t>14-08-2025</t>
  </si>
  <si>
    <t>Ds 14.8.25</t>
  </si>
  <si>
    <t>13-08-2025</t>
  </si>
  <si>
    <t>12-08-2025</t>
  </si>
  <si>
    <t>11-08-2025</t>
  </si>
  <si>
    <t>Ex tec plant</t>
  </si>
  <si>
    <t>Fixed plant</t>
  </si>
  <si>
    <t>10-08-2025</t>
  </si>
  <si>
    <t>Ds 10.8.25</t>
  </si>
  <si>
    <t>09-08-2025</t>
  </si>
  <si>
    <t>Ds 9.8.25</t>
  </si>
  <si>
    <t>08-08-2025</t>
  </si>
  <si>
    <t>A</t>
  </si>
  <si>
    <t>07-08-2025</t>
  </si>
  <si>
    <t>06-08-2025</t>
  </si>
  <si>
    <t>05-08-2025</t>
  </si>
  <si>
    <t xml:space="preserve">Extech plant </t>
  </si>
  <si>
    <t>04-08-2025</t>
  </si>
  <si>
    <t>03-08-2025</t>
  </si>
  <si>
    <t>4.47</t>
  </si>
  <si>
    <t>02-08-2025</t>
  </si>
  <si>
    <t>01-08-2025</t>
  </si>
  <si>
    <t xml:space="preserve">Dt 1.8.25 </t>
  </si>
  <si>
    <t>Dt 01.8.25</t>
  </si>
  <si>
    <t xml:space="preserve">   -------------------------------------- No Samples Details Found --------------------------------------------      </t>
  </si>
  <si>
    <t>Parent Pouch Code</t>
  </si>
  <si>
    <t>260820250101083125</t>
  </si>
  <si>
    <t>P0000000106647</t>
  </si>
  <si>
    <t>26-08-2025 12:35:46</t>
  </si>
  <si>
    <t>23-07-2025 10:37:16</t>
  </si>
  <si>
    <t>23-07-2025 11:39:36</t>
  </si>
  <si>
    <t>23-07-2025 09:26:04</t>
  </si>
  <si>
    <t>23-07-2025 10:28:41</t>
  </si>
  <si>
    <t>23-07-2025</t>
  </si>
  <si>
    <t xml:space="preserve">Propel Plant </t>
  </si>
  <si>
    <t>Ds 22.7.25</t>
  </si>
  <si>
    <t>260820250101083124</t>
  </si>
  <si>
    <t>P0000000106638</t>
  </si>
  <si>
    <t>26-08-2025 12:35:18</t>
  </si>
  <si>
    <t>22-07-2025 10:21:15</t>
  </si>
  <si>
    <t>22-07-2025 11:14:57</t>
  </si>
  <si>
    <t>22-07-2025 10:19:09</t>
  </si>
  <si>
    <t>22-07-2025 10:19:16</t>
  </si>
  <si>
    <t>22-07-2025</t>
  </si>
  <si>
    <t>4.82</t>
  </si>
  <si>
    <t>95.18</t>
  </si>
  <si>
    <t>D/s : 21.07.25</t>
  </si>
  <si>
    <t>Production Inspection and Analysis Report</t>
  </si>
  <si>
    <t>CLO</t>
  </si>
  <si>
    <t>31-08-2025</t>
  </si>
  <si>
    <t>Ds 31.8.25</t>
  </si>
  <si>
    <t>30-08-2025</t>
  </si>
  <si>
    <t>Ds 30.8.25</t>
  </si>
  <si>
    <t xml:space="preserve">Propel plant &amp; Fixed plant </t>
  </si>
  <si>
    <t>28-08-2025</t>
  </si>
  <si>
    <t>27-08-2025</t>
  </si>
  <si>
    <t xml:space="preserve">Propel and Fixed. </t>
  </si>
  <si>
    <t>Fixed plants</t>
  </si>
  <si>
    <t>26-08-2025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</si>
</sst>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tabSelected="1" zoomScaleNormal="100" workbookViewId="0">
      <selection activeCell="S25" sqref="S25"/>
    </sheetView>
  </sheetViews>
  <sheetFormatPr defaultRowHeight="14.4" x14ac:dyDescent="0.3"/>
  <cols>
    <col min="1" max="1" width="6.21875" bestFit="1" customWidth="1"/>
    <col min="2" max="2" width="17.21875" style="5" customWidth="1"/>
    <col min="3" max="3" width="13.109375" bestFit="1" customWidth="1"/>
    <col min="4" max="4" width="9.21875" bestFit="1" customWidth="1"/>
    <col min="5" max="5" width="24.77734375" bestFit="1" customWidth="1"/>
    <col min="6" max="6" width="11.109375" bestFit="1" customWidth="1"/>
    <col min="7" max="7" width="13.5546875" bestFit="1" customWidth="1"/>
    <col min="8" max="8" width="6.77734375" bestFit="1" customWidth="1"/>
    <col min="9" max="9" width="6.6640625" bestFit="1" customWidth="1"/>
    <col min="10" max="10" width="6.33203125" bestFit="1" customWidth="1"/>
    <col min="11" max="11" width="7.33203125" bestFit="1" customWidth="1"/>
    <col min="12" max="14" width="5.77734375" bestFit="1" customWidth="1"/>
    <col min="15" max="15" width="7.33203125" bestFit="1" customWidth="1"/>
    <col min="16" max="16" width="6.44140625" bestFit="1" customWidth="1"/>
    <col min="17" max="17" width="5.77734375" bestFit="1" customWidth="1"/>
    <col min="18" max="18" width="14.33203125" bestFit="1" customWidth="1"/>
    <col min="20" max="20" width="8.77734375" hidden="1" customWidth="1"/>
    <col min="21" max="21" width="9.33203125" hidden="1" customWidth="1"/>
    <col min="22" max="29" width="8.77734375" hidden="1" customWidth="1"/>
  </cols>
  <sheetData>
    <row r="1" spans="1:29" ht="15.6" x14ac:dyDescent="0.3">
      <c r="A1" s="16" t="s">
        <v>119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29" x14ac:dyDescent="0.3">
      <c r="A3" s="10" t="s">
        <v>13</v>
      </c>
      <c r="B3" s="1"/>
      <c r="C3" s="10" t="s">
        <v>22</v>
      </c>
      <c r="D3" s="10" t="s">
        <v>23</v>
      </c>
      <c r="E3" s="10" t="s">
        <v>25</v>
      </c>
      <c r="F3" s="10" t="s">
        <v>26</v>
      </c>
      <c r="G3" s="10" t="s">
        <v>27</v>
      </c>
      <c r="H3" s="10" t="s">
        <v>29</v>
      </c>
      <c r="I3" s="11"/>
      <c r="J3" s="10" t="s">
        <v>32</v>
      </c>
      <c r="K3" s="11"/>
      <c r="L3" s="11"/>
      <c r="M3" s="11"/>
      <c r="N3" s="11"/>
      <c r="O3" s="11"/>
      <c r="P3" s="11"/>
      <c r="Q3" s="11"/>
      <c r="R3" s="10" t="s">
        <v>43</v>
      </c>
    </row>
    <row r="4" spans="1:29" x14ac:dyDescent="0.3">
      <c r="A4" s="11"/>
      <c r="C4" s="11"/>
      <c r="D4" s="11"/>
      <c r="E4" s="11"/>
      <c r="F4" s="11"/>
      <c r="G4" s="11"/>
      <c r="R4" s="11"/>
    </row>
    <row r="5" spans="1:29" ht="28.8" x14ac:dyDescent="0.3">
      <c r="A5" s="11"/>
      <c r="B5" s="5" t="s">
        <v>14</v>
      </c>
      <c r="C5" s="11"/>
      <c r="D5" s="11"/>
      <c r="E5" s="11"/>
      <c r="F5" s="11"/>
      <c r="G5" s="11"/>
      <c r="H5" s="1" t="s">
        <v>30</v>
      </c>
      <c r="I5" s="1" t="s">
        <v>31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39</v>
      </c>
      <c r="P5" s="1" t="s">
        <v>40</v>
      </c>
      <c r="Q5" s="1" t="s">
        <v>41</v>
      </c>
      <c r="R5" s="11"/>
    </row>
    <row r="6" spans="1:29" x14ac:dyDescent="0.3">
      <c r="A6">
        <v>1</v>
      </c>
      <c r="B6" s="5">
        <v>118768</v>
      </c>
      <c r="C6" t="s">
        <v>121</v>
      </c>
      <c r="D6" s="5" t="s">
        <v>49</v>
      </c>
      <c r="E6" s="5" t="s">
        <v>54</v>
      </c>
      <c r="F6" s="5" t="s">
        <v>52</v>
      </c>
      <c r="G6" s="6">
        <v>400</v>
      </c>
      <c r="H6" s="5">
        <v>4.79</v>
      </c>
      <c r="I6" s="5">
        <v>4.9400000000000004</v>
      </c>
      <c r="J6" s="5">
        <v>60.32</v>
      </c>
      <c r="K6" s="6">
        <v>4.0135800000000001</v>
      </c>
      <c r="L6" s="6">
        <v>4.2210000000000001</v>
      </c>
      <c r="M6" s="6">
        <v>0</v>
      </c>
      <c r="N6" s="6">
        <v>2.1000000000000001E-2</v>
      </c>
      <c r="O6" s="6">
        <v>7.6130000000000003E-2</v>
      </c>
      <c r="P6" s="6">
        <v>1.2999999999999999E-2</v>
      </c>
      <c r="Q6" s="5">
        <v>5.24</v>
      </c>
      <c r="R6" s="5" t="s">
        <v>122</v>
      </c>
      <c r="T6" s="3">
        <f t="shared" ref="T6:T23" si="0">$G6*H6</f>
        <v>1916</v>
      </c>
      <c r="U6" s="3">
        <f t="shared" ref="U6:U23" si="1">$G6*I6</f>
        <v>1976.0000000000002</v>
      </c>
      <c r="V6" s="3">
        <f t="shared" ref="V6:V23" si="2">$G6*J6</f>
        <v>24128</v>
      </c>
      <c r="W6" s="3">
        <f t="shared" ref="W6:W23" si="3">$G6*K6</f>
        <v>1605.432</v>
      </c>
      <c r="X6" s="3">
        <f t="shared" ref="X6:X23" si="4">$G6*L6</f>
        <v>1688.4</v>
      </c>
      <c r="Y6" s="3">
        <f t="shared" ref="Y6:Y23" si="5">$G6*M6</f>
        <v>0</v>
      </c>
      <c r="Z6" s="3">
        <f t="shared" ref="Z6:Z23" si="6">$G6*N6</f>
        <v>8.4</v>
      </c>
      <c r="AA6" s="3">
        <f t="shared" ref="AA6:AA23" si="7">$G6*O6</f>
        <v>30.452000000000002</v>
      </c>
      <c r="AB6" s="3">
        <f t="shared" ref="AB6:AB23" si="8">$G6*P6</f>
        <v>5.2</v>
      </c>
      <c r="AC6" s="3">
        <f t="shared" ref="AC6:AC23" si="9">$G6*Q6</f>
        <v>2096</v>
      </c>
    </row>
    <row r="7" spans="1:29" x14ac:dyDescent="0.3">
      <c r="A7">
        <v>2</v>
      </c>
      <c r="B7" s="5">
        <v>118767</v>
      </c>
      <c r="C7" t="s">
        <v>121</v>
      </c>
      <c r="D7" s="5" t="s">
        <v>49</v>
      </c>
      <c r="E7" s="5" t="s">
        <v>54</v>
      </c>
      <c r="F7" s="5" t="s">
        <v>55</v>
      </c>
      <c r="G7" s="6">
        <v>600</v>
      </c>
      <c r="H7" s="5">
        <v>4.5199999999999996</v>
      </c>
      <c r="I7" s="5">
        <v>95.48</v>
      </c>
      <c r="J7" s="5">
        <v>59.24</v>
      </c>
      <c r="K7" s="6">
        <v>4.6327199999999999</v>
      </c>
      <c r="L7" s="6">
        <v>4.8940000000000001</v>
      </c>
      <c r="M7" s="6">
        <v>0</v>
      </c>
      <c r="N7" s="6">
        <v>3.4000000000000002E-2</v>
      </c>
      <c r="O7" s="6">
        <v>6.4399999999999999E-2</v>
      </c>
      <c r="P7" s="6">
        <v>2.8000000000000001E-2</v>
      </c>
      <c r="Q7" s="5">
        <v>5.47</v>
      </c>
      <c r="R7" s="5" t="s">
        <v>122</v>
      </c>
      <c r="T7" s="3">
        <f t="shared" si="0"/>
        <v>2711.9999999999995</v>
      </c>
      <c r="U7" s="3">
        <f t="shared" si="1"/>
        <v>57288</v>
      </c>
      <c r="V7" s="3">
        <f t="shared" si="2"/>
        <v>35544</v>
      </c>
      <c r="W7" s="3">
        <f t="shared" si="3"/>
        <v>2779.6320000000001</v>
      </c>
      <c r="X7" s="3">
        <f t="shared" si="4"/>
        <v>2936.4</v>
      </c>
      <c r="Y7" s="3">
        <f t="shared" si="5"/>
        <v>0</v>
      </c>
      <c r="Z7" s="3">
        <f t="shared" si="6"/>
        <v>20.400000000000002</v>
      </c>
      <c r="AA7" s="3">
        <f t="shared" si="7"/>
        <v>38.64</v>
      </c>
      <c r="AB7" s="3">
        <f t="shared" si="8"/>
        <v>16.8</v>
      </c>
      <c r="AC7" s="3">
        <f t="shared" si="9"/>
        <v>3282</v>
      </c>
    </row>
    <row r="8" spans="1:29" x14ac:dyDescent="0.3">
      <c r="A8">
        <v>3</v>
      </c>
      <c r="B8" s="5">
        <v>118766</v>
      </c>
      <c r="C8" t="s">
        <v>121</v>
      </c>
      <c r="D8" s="5" t="s">
        <v>49</v>
      </c>
      <c r="E8" s="5" t="s">
        <v>54</v>
      </c>
      <c r="F8" s="5" t="s">
        <v>55</v>
      </c>
      <c r="G8" s="6">
        <v>1000</v>
      </c>
      <c r="H8" s="5">
        <v>4.67</v>
      </c>
      <c r="I8" s="5">
        <v>95.33</v>
      </c>
      <c r="J8" s="5">
        <v>59.03</v>
      </c>
      <c r="K8" s="6">
        <v>4.7085900000000001</v>
      </c>
      <c r="L8" s="6">
        <v>4.9569999999999999</v>
      </c>
      <c r="M8" s="6">
        <v>0</v>
      </c>
      <c r="N8" s="6">
        <v>3.5000000000000003E-2</v>
      </c>
      <c r="O8" s="6">
        <v>6.2770000000000006E-2</v>
      </c>
      <c r="P8" s="6">
        <v>3.9E-2</v>
      </c>
      <c r="Q8" s="5">
        <v>5.58</v>
      </c>
      <c r="R8" s="5" t="s">
        <v>122</v>
      </c>
      <c r="T8" s="3">
        <f t="shared" si="0"/>
        <v>4670</v>
      </c>
      <c r="U8" s="3">
        <f t="shared" si="1"/>
        <v>95330</v>
      </c>
      <c r="V8" s="3">
        <f t="shared" si="2"/>
        <v>59030</v>
      </c>
      <c r="W8" s="3">
        <f t="shared" si="3"/>
        <v>4708.59</v>
      </c>
      <c r="X8" s="3">
        <f t="shared" si="4"/>
        <v>4957</v>
      </c>
      <c r="Y8" s="3">
        <f t="shared" si="5"/>
        <v>0</v>
      </c>
      <c r="Z8" s="3">
        <f t="shared" si="6"/>
        <v>35</v>
      </c>
      <c r="AA8" s="3">
        <f t="shared" si="7"/>
        <v>62.77</v>
      </c>
      <c r="AB8" s="3">
        <f t="shared" si="8"/>
        <v>39</v>
      </c>
      <c r="AC8" s="3">
        <f t="shared" si="9"/>
        <v>5580</v>
      </c>
    </row>
    <row r="9" spans="1:29" x14ac:dyDescent="0.3">
      <c r="A9">
        <v>4</v>
      </c>
      <c r="B9" s="5">
        <v>118771</v>
      </c>
      <c r="C9" t="s">
        <v>123</v>
      </c>
      <c r="D9" s="5" t="s">
        <v>49</v>
      </c>
      <c r="E9" s="5" t="s">
        <v>54</v>
      </c>
      <c r="F9" s="5" t="s">
        <v>52</v>
      </c>
      <c r="G9" s="6">
        <v>500</v>
      </c>
      <c r="H9" s="5">
        <v>4.62</v>
      </c>
      <c r="I9" s="5">
        <v>4.8</v>
      </c>
      <c r="J9" s="5">
        <v>60.78</v>
      </c>
      <c r="K9" s="6">
        <v>3.05952</v>
      </c>
      <c r="L9" s="6">
        <v>3.7029999999999998</v>
      </c>
      <c r="M9" s="6">
        <v>0</v>
      </c>
      <c r="N9" s="6">
        <v>2.7E-2</v>
      </c>
      <c r="O9" s="6">
        <v>7.3090000000000002E-2</v>
      </c>
      <c r="P9" s="6">
        <v>1.7000000000000001E-2</v>
      </c>
      <c r="Q9" s="5">
        <v>5.88</v>
      </c>
      <c r="R9" s="5" t="s">
        <v>124</v>
      </c>
      <c r="T9" s="3">
        <f t="shared" si="0"/>
        <v>2310</v>
      </c>
      <c r="U9" s="3">
        <f t="shared" si="1"/>
        <v>2400</v>
      </c>
      <c r="V9" s="3">
        <f t="shared" si="2"/>
        <v>30390</v>
      </c>
      <c r="W9" s="3">
        <f t="shared" si="3"/>
        <v>1529.76</v>
      </c>
      <c r="X9" s="3">
        <f t="shared" si="4"/>
        <v>1851.5</v>
      </c>
      <c r="Y9" s="3">
        <f t="shared" si="5"/>
        <v>0</v>
      </c>
      <c r="Z9" s="3">
        <f t="shared" si="6"/>
        <v>13.5</v>
      </c>
      <c r="AA9" s="3">
        <f t="shared" si="7"/>
        <v>36.545000000000002</v>
      </c>
      <c r="AB9" s="3">
        <f t="shared" si="8"/>
        <v>8.5</v>
      </c>
      <c r="AC9" s="3">
        <f t="shared" si="9"/>
        <v>2940</v>
      </c>
    </row>
    <row r="10" spans="1:29" x14ac:dyDescent="0.3">
      <c r="A10">
        <v>5</v>
      </c>
      <c r="B10" s="5">
        <v>118770</v>
      </c>
      <c r="C10" t="s">
        <v>123</v>
      </c>
      <c r="D10" s="5" t="s">
        <v>49</v>
      </c>
      <c r="E10" s="5" t="s">
        <v>78</v>
      </c>
      <c r="F10" s="5" t="s">
        <v>55</v>
      </c>
      <c r="G10" s="6">
        <v>1000</v>
      </c>
      <c r="H10" s="5">
        <v>4.68</v>
      </c>
      <c r="I10" s="5">
        <v>95.32</v>
      </c>
      <c r="J10" s="5">
        <v>59.59</v>
      </c>
      <c r="K10" s="6">
        <v>4.3859500000000002</v>
      </c>
      <c r="L10" s="6">
        <v>4.42</v>
      </c>
      <c r="M10" s="6">
        <v>0</v>
      </c>
      <c r="N10" s="6">
        <v>4.3999999999999997E-2</v>
      </c>
      <c r="O10" s="6">
        <v>6.3829999999999998E-2</v>
      </c>
      <c r="P10" s="6">
        <v>2.1000000000000001E-2</v>
      </c>
      <c r="Q10" s="5">
        <v>5.55</v>
      </c>
      <c r="R10" s="5" t="s">
        <v>124</v>
      </c>
      <c r="T10" s="3">
        <f t="shared" si="0"/>
        <v>4680</v>
      </c>
      <c r="U10" s="3">
        <f t="shared" si="1"/>
        <v>95320</v>
      </c>
      <c r="V10" s="3">
        <f t="shared" si="2"/>
        <v>59590</v>
      </c>
      <c r="W10" s="3">
        <f t="shared" si="3"/>
        <v>4385.95</v>
      </c>
      <c r="X10" s="3">
        <f t="shared" si="4"/>
        <v>4420</v>
      </c>
      <c r="Y10" s="3">
        <f t="shared" si="5"/>
        <v>0</v>
      </c>
      <c r="Z10" s="3">
        <f t="shared" si="6"/>
        <v>44</v>
      </c>
      <c r="AA10" s="3">
        <f t="shared" si="7"/>
        <v>63.83</v>
      </c>
      <c r="AB10" s="3">
        <f t="shared" si="8"/>
        <v>21</v>
      </c>
      <c r="AC10" s="3">
        <f t="shared" si="9"/>
        <v>5550</v>
      </c>
    </row>
    <row r="11" spans="1:29" x14ac:dyDescent="0.3">
      <c r="A11">
        <v>6</v>
      </c>
      <c r="B11" s="5">
        <v>118769</v>
      </c>
      <c r="C11" t="s">
        <v>123</v>
      </c>
      <c r="D11" s="5" t="s">
        <v>49</v>
      </c>
      <c r="E11" s="5" t="s">
        <v>68</v>
      </c>
      <c r="F11" s="5" t="s">
        <v>55</v>
      </c>
      <c r="G11" s="6">
        <v>1000</v>
      </c>
      <c r="H11" s="5">
        <v>4.8499999999999996</v>
      </c>
      <c r="I11" s="5">
        <v>95.15</v>
      </c>
      <c r="J11" s="5">
        <v>59.57</v>
      </c>
      <c r="K11" s="6">
        <v>4.3596000000000004</v>
      </c>
      <c r="L11" s="6">
        <v>4.4189999999999996</v>
      </c>
      <c r="M11" s="6">
        <v>0</v>
      </c>
      <c r="N11" s="6">
        <v>4.2999999999999997E-2</v>
      </c>
      <c r="O11" s="6">
        <v>6.4939999999999998E-2</v>
      </c>
      <c r="P11" s="6">
        <v>1.7999999999999999E-2</v>
      </c>
      <c r="Q11" s="5">
        <v>5.59</v>
      </c>
      <c r="R11" s="5" t="s">
        <v>124</v>
      </c>
      <c r="T11" s="3">
        <f t="shared" si="0"/>
        <v>4850</v>
      </c>
      <c r="U11" s="3">
        <f t="shared" si="1"/>
        <v>95150</v>
      </c>
      <c r="V11" s="3">
        <f t="shared" si="2"/>
        <v>59570</v>
      </c>
      <c r="W11" s="3">
        <f t="shared" si="3"/>
        <v>4359.6000000000004</v>
      </c>
      <c r="X11" s="3">
        <f t="shared" si="4"/>
        <v>4419</v>
      </c>
      <c r="Y11" s="3">
        <f t="shared" si="5"/>
        <v>0</v>
      </c>
      <c r="Z11" s="3">
        <f t="shared" si="6"/>
        <v>43</v>
      </c>
      <c r="AA11" s="3">
        <f t="shared" si="7"/>
        <v>64.94</v>
      </c>
      <c r="AB11" s="3">
        <f t="shared" si="8"/>
        <v>18</v>
      </c>
      <c r="AC11" s="3">
        <f t="shared" si="9"/>
        <v>5590</v>
      </c>
    </row>
    <row r="12" spans="1:29" x14ac:dyDescent="0.3">
      <c r="A12">
        <v>7</v>
      </c>
      <c r="B12" s="5">
        <v>116374</v>
      </c>
      <c r="C12" t="s">
        <v>123</v>
      </c>
      <c r="D12" s="5" t="s">
        <v>49</v>
      </c>
      <c r="E12" s="5" t="s">
        <v>125</v>
      </c>
      <c r="F12" s="5" t="s">
        <v>52</v>
      </c>
      <c r="G12" s="6">
        <v>500</v>
      </c>
      <c r="H12" s="5">
        <v>4.87</v>
      </c>
      <c r="I12" s="5">
        <v>4.97</v>
      </c>
      <c r="J12" s="6">
        <v>63</v>
      </c>
      <c r="K12" s="6">
        <v>2.4924900000000001</v>
      </c>
      <c r="L12" s="6">
        <v>2.6219999999999999</v>
      </c>
      <c r="M12" s="6">
        <v>0</v>
      </c>
      <c r="N12" s="6">
        <v>2.8000000000000001E-2</v>
      </c>
      <c r="O12" s="6">
        <v>5.8529999999999999E-2</v>
      </c>
      <c r="P12" s="6">
        <v>1.0999999999999999E-2</v>
      </c>
      <c r="Q12" s="5">
        <v>4.57</v>
      </c>
      <c r="R12" t="s">
        <v>47</v>
      </c>
      <c r="T12" s="3">
        <f t="shared" si="0"/>
        <v>2435</v>
      </c>
      <c r="U12" s="3">
        <f t="shared" si="1"/>
        <v>2485</v>
      </c>
      <c r="V12" s="3">
        <f t="shared" si="2"/>
        <v>31500</v>
      </c>
      <c r="W12" s="3">
        <f t="shared" si="3"/>
        <v>1246.2450000000001</v>
      </c>
      <c r="X12" s="3">
        <f t="shared" si="4"/>
        <v>1311</v>
      </c>
      <c r="Y12" s="3">
        <f t="shared" si="5"/>
        <v>0</v>
      </c>
      <c r="Z12" s="3">
        <f t="shared" si="6"/>
        <v>14</v>
      </c>
      <c r="AA12" s="3">
        <f t="shared" si="7"/>
        <v>29.265000000000001</v>
      </c>
      <c r="AB12" s="3">
        <f t="shared" si="8"/>
        <v>5.5</v>
      </c>
      <c r="AC12" s="3">
        <f t="shared" si="9"/>
        <v>2285</v>
      </c>
    </row>
    <row r="13" spans="1:29" x14ac:dyDescent="0.3">
      <c r="A13">
        <v>8</v>
      </c>
      <c r="B13" s="5">
        <v>116373</v>
      </c>
      <c r="C13" t="s">
        <v>123</v>
      </c>
      <c r="D13" s="5" t="s">
        <v>49</v>
      </c>
      <c r="E13" s="5" t="s">
        <v>54</v>
      </c>
      <c r="F13" s="5" t="s">
        <v>55</v>
      </c>
      <c r="G13" s="6">
        <v>1000</v>
      </c>
      <c r="H13" s="5">
        <v>4.8600000000000003</v>
      </c>
      <c r="I13" s="5">
        <v>95.14</v>
      </c>
      <c r="J13" s="5">
        <v>57.24</v>
      </c>
      <c r="K13" s="6">
        <v>5.0772300000000001</v>
      </c>
      <c r="L13" s="6">
        <v>5.6769999999999996</v>
      </c>
      <c r="M13" s="6">
        <v>3.0000000000000001E-3</v>
      </c>
      <c r="N13" s="6">
        <v>0.06</v>
      </c>
      <c r="O13" s="6">
        <v>7.3660000000000003E-2</v>
      </c>
      <c r="P13" s="6">
        <v>2.1999999999999999E-2</v>
      </c>
      <c r="Q13" s="5">
        <v>6.95</v>
      </c>
      <c r="R13" t="s">
        <v>47</v>
      </c>
      <c r="T13" s="3">
        <f t="shared" si="0"/>
        <v>4860</v>
      </c>
      <c r="U13" s="3">
        <f t="shared" si="1"/>
        <v>95140</v>
      </c>
      <c r="V13" s="3">
        <f t="shared" si="2"/>
        <v>57240</v>
      </c>
      <c r="W13" s="3">
        <f t="shared" si="3"/>
        <v>5077.2300000000005</v>
      </c>
      <c r="X13" s="3">
        <f t="shared" si="4"/>
        <v>5677</v>
      </c>
      <c r="Y13" s="3">
        <f t="shared" si="5"/>
        <v>3</v>
      </c>
      <c r="Z13" s="3">
        <f t="shared" si="6"/>
        <v>60</v>
      </c>
      <c r="AA13" s="3">
        <f t="shared" si="7"/>
        <v>73.66</v>
      </c>
      <c r="AB13" s="3">
        <f t="shared" si="8"/>
        <v>22</v>
      </c>
      <c r="AC13" s="3">
        <f t="shared" si="9"/>
        <v>6950</v>
      </c>
    </row>
    <row r="14" spans="1:29" x14ac:dyDescent="0.3">
      <c r="A14">
        <v>9</v>
      </c>
      <c r="B14" s="5">
        <v>116372</v>
      </c>
      <c r="C14" t="s">
        <v>123</v>
      </c>
      <c r="D14" s="5" t="s">
        <v>49</v>
      </c>
      <c r="E14" s="5" t="s">
        <v>51</v>
      </c>
      <c r="F14" s="5" t="s">
        <v>55</v>
      </c>
      <c r="G14" s="6">
        <v>1000</v>
      </c>
      <c r="H14" s="5">
        <v>4.59</v>
      </c>
      <c r="I14" s="5">
        <v>95.41</v>
      </c>
      <c r="J14" s="5">
        <v>56.53</v>
      </c>
      <c r="K14" s="6">
        <v>5.4907700000000004</v>
      </c>
      <c r="L14" s="6">
        <v>6.07</v>
      </c>
      <c r="M14" s="6">
        <v>0</v>
      </c>
      <c r="N14" s="6">
        <v>6.4000000000000001E-2</v>
      </c>
      <c r="O14" s="6">
        <v>7.4349999999999999E-2</v>
      </c>
      <c r="P14" s="6">
        <v>2.5000000000000001E-2</v>
      </c>
      <c r="Q14" s="5">
        <v>7.13</v>
      </c>
      <c r="R14" t="s">
        <v>47</v>
      </c>
      <c r="T14" s="3">
        <f t="shared" si="0"/>
        <v>4590</v>
      </c>
      <c r="U14" s="3">
        <f t="shared" si="1"/>
        <v>95410</v>
      </c>
      <c r="V14" s="3">
        <f t="shared" si="2"/>
        <v>56530</v>
      </c>
      <c r="W14" s="3">
        <f t="shared" si="3"/>
        <v>5490.77</v>
      </c>
      <c r="X14" s="3">
        <f t="shared" si="4"/>
        <v>6070</v>
      </c>
      <c r="Y14" s="3">
        <f t="shared" si="5"/>
        <v>0</v>
      </c>
      <c r="Z14" s="3">
        <f t="shared" si="6"/>
        <v>64</v>
      </c>
      <c r="AA14" s="3">
        <f t="shared" si="7"/>
        <v>74.349999999999994</v>
      </c>
      <c r="AB14" s="3">
        <f t="shared" si="8"/>
        <v>25</v>
      </c>
      <c r="AC14" s="3">
        <f t="shared" si="9"/>
        <v>7130</v>
      </c>
    </row>
    <row r="15" spans="1:29" x14ac:dyDescent="0.3">
      <c r="A15">
        <v>10</v>
      </c>
      <c r="B15" s="5">
        <v>116389</v>
      </c>
      <c r="C15" t="s">
        <v>126</v>
      </c>
      <c r="D15" s="5" t="s">
        <v>49</v>
      </c>
      <c r="E15" s="5" t="s">
        <v>51</v>
      </c>
      <c r="F15" s="5" t="s">
        <v>55</v>
      </c>
      <c r="G15" s="6">
        <v>1000</v>
      </c>
      <c r="H15" s="5">
        <v>4.8499999999999996</v>
      </c>
      <c r="I15" s="5">
        <v>95.15</v>
      </c>
      <c r="J15" s="5">
        <v>61.21</v>
      </c>
      <c r="K15" s="6">
        <v>3.31806</v>
      </c>
      <c r="L15" s="6">
        <v>3.6819999999999999</v>
      </c>
      <c r="M15" s="6">
        <v>0</v>
      </c>
      <c r="N15" s="6">
        <v>3.5999999999999997E-2</v>
      </c>
      <c r="O15" s="6">
        <v>8.0269999999999994E-2</v>
      </c>
      <c r="P15" s="6">
        <v>0.02</v>
      </c>
      <c r="Q15" s="5">
        <v>5.17</v>
      </c>
      <c r="R15" t="s">
        <v>47</v>
      </c>
      <c r="T15" s="3">
        <f t="shared" si="0"/>
        <v>4850</v>
      </c>
      <c r="U15" s="3">
        <f t="shared" si="1"/>
        <v>95150</v>
      </c>
      <c r="V15" s="3">
        <f t="shared" si="2"/>
        <v>61210</v>
      </c>
      <c r="W15" s="3">
        <f t="shared" si="3"/>
        <v>3318.06</v>
      </c>
      <c r="X15" s="3">
        <f t="shared" si="4"/>
        <v>3682</v>
      </c>
      <c r="Y15" s="3">
        <f t="shared" si="5"/>
        <v>0</v>
      </c>
      <c r="Z15" s="3">
        <f t="shared" si="6"/>
        <v>36</v>
      </c>
      <c r="AA15" s="3">
        <f t="shared" si="7"/>
        <v>80.27</v>
      </c>
      <c r="AB15" s="3">
        <f t="shared" si="8"/>
        <v>20</v>
      </c>
      <c r="AC15" s="3">
        <f t="shared" si="9"/>
        <v>5170</v>
      </c>
    </row>
    <row r="16" spans="1:29" x14ac:dyDescent="0.3">
      <c r="A16">
        <v>11</v>
      </c>
      <c r="B16" s="5">
        <v>116391</v>
      </c>
      <c r="C16" t="s">
        <v>126</v>
      </c>
      <c r="D16" s="5" t="s">
        <v>49</v>
      </c>
      <c r="E16" s="5" t="s">
        <v>59</v>
      </c>
      <c r="F16" s="5" t="s">
        <v>52</v>
      </c>
      <c r="G16" s="6">
        <v>400</v>
      </c>
      <c r="H16" s="5">
        <v>4.45</v>
      </c>
      <c r="I16" s="5">
        <v>4.82</v>
      </c>
      <c r="J16" s="5">
        <v>62.21</v>
      </c>
      <c r="K16" s="6">
        <v>2.5222000000000002</v>
      </c>
      <c r="L16" s="6">
        <v>3.335</v>
      </c>
      <c r="M16" s="6">
        <v>0</v>
      </c>
      <c r="N16" s="6">
        <v>2.7E-2</v>
      </c>
      <c r="O16" s="6">
        <v>7.0620000000000002E-2</v>
      </c>
      <c r="P16" s="6">
        <v>5.0999999999999997E-2</v>
      </c>
      <c r="Q16" s="5">
        <v>4.87</v>
      </c>
      <c r="R16" t="s">
        <v>47</v>
      </c>
      <c r="T16" s="3">
        <f t="shared" si="0"/>
        <v>1780</v>
      </c>
      <c r="U16" s="3">
        <f t="shared" si="1"/>
        <v>1928</v>
      </c>
      <c r="V16" s="3">
        <f t="shared" si="2"/>
        <v>24884</v>
      </c>
      <c r="W16" s="3">
        <f t="shared" si="3"/>
        <v>1008.8800000000001</v>
      </c>
      <c r="X16" s="3">
        <f t="shared" si="4"/>
        <v>1334</v>
      </c>
      <c r="Y16" s="3">
        <f t="shared" si="5"/>
        <v>0</v>
      </c>
      <c r="Z16" s="3">
        <f t="shared" si="6"/>
        <v>10.8</v>
      </c>
      <c r="AA16" s="3">
        <f t="shared" si="7"/>
        <v>28.248000000000001</v>
      </c>
      <c r="AB16" s="3">
        <f t="shared" si="8"/>
        <v>20.399999999999999</v>
      </c>
      <c r="AC16" s="3">
        <f t="shared" si="9"/>
        <v>1948</v>
      </c>
    </row>
    <row r="17" spans="1:29" x14ac:dyDescent="0.3">
      <c r="A17">
        <v>12</v>
      </c>
      <c r="B17" s="5">
        <v>116390</v>
      </c>
      <c r="C17" t="s">
        <v>126</v>
      </c>
      <c r="D17" s="5" t="s">
        <v>49</v>
      </c>
      <c r="E17" s="5" t="s">
        <v>54</v>
      </c>
      <c r="F17" s="5" t="s">
        <v>55</v>
      </c>
      <c r="G17" s="6">
        <v>600</v>
      </c>
      <c r="H17" s="5">
        <v>4.57</v>
      </c>
      <c r="I17" s="5">
        <v>95.43</v>
      </c>
      <c r="J17" s="5">
        <v>61.29</v>
      </c>
      <c r="K17" s="6">
        <v>3.3534700000000002</v>
      </c>
      <c r="L17" s="6">
        <v>3.617</v>
      </c>
      <c r="M17" s="6">
        <v>0</v>
      </c>
      <c r="N17" s="6">
        <v>3.5000000000000003E-2</v>
      </c>
      <c r="O17" s="6">
        <v>7.9740000000000005E-2</v>
      </c>
      <c r="P17" s="6">
        <v>3.2000000000000001E-2</v>
      </c>
      <c r="Q17" s="5">
        <v>5.07</v>
      </c>
      <c r="R17" t="s">
        <v>47</v>
      </c>
      <c r="T17" s="3">
        <f t="shared" si="0"/>
        <v>2742</v>
      </c>
      <c r="U17" s="3">
        <f t="shared" si="1"/>
        <v>57258.000000000007</v>
      </c>
      <c r="V17" s="3">
        <f t="shared" si="2"/>
        <v>36774</v>
      </c>
      <c r="W17" s="3">
        <f t="shared" si="3"/>
        <v>2012.0820000000001</v>
      </c>
      <c r="X17" s="3">
        <f t="shared" si="4"/>
        <v>2170.1999999999998</v>
      </c>
      <c r="Y17" s="3">
        <f t="shared" si="5"/>
        <v>0</v>
      </c>
      <c r="Z17" s="3">
        <f t="shared" si="6"/>
        <v>21.000000000000004</v>
      </c>
      <c r="AA17" s="3">
        <f t="shared" si="7"/>
        <v>47.844000000000001</v>
      </c>
      <c r="AB17" s="3">
        <f t="shared" si="8"/>
        <v>19.2</v>
      </c>
      <c r="AC17" s="3">
        <f t="shared" si="9"/>
        <v>3042</v>
      </c>
    </row>
    <row r="18" spans="1:29" x14ac:dyDescent="0.3">
      <c r="A18">
        <v>13</v>
      </c>
      <c r="B18" s="5">
        <v>116396</v>
      </c>
      <c r="C18" t="s">
        <v>127</v>
      </c>
      <c r="D18" s="5" t="s">
        <v>49</v>
      </c>
      <c r="E18" s="5" t="s">
        <v>128</v>
      </c>
      <c r="F18" s="5" t="s">
        <v>52</v>
      </c>
      <c r="G18" s="6">
        <v>560</v>
      </c>
      <c r="H18" s="5">
        <v>4.34</v>
      </c>
      <c r="I18" s="5">
        <v>4.67</v>
      </c>
      <c r="J18" s="5">
        <v>61.99</v>
      </c>
      <c r="K18" s="6">
        <v>2.3851499999999999</v>
      </c>
      <c r="L18" s="6">
        <v>3.2770000000000001</v>
      </c>
      <c r="M18" s="6">
        <v>0</v>
      </c>
      <c r="N18" s="6">
        <v>2.1000000000000001E-2</v>
      </c>
      <c r="O18" s="6">
        <v>7.7030000000000001E-2</v>
      </c>
      <c r="P18" s="6">
        <v>2.9000000000000001E-2</v>
      </c>
      <c r="Q18" s="5">
        <v>5.39</v>
      </c>
      <c r="R18" t="s">
        <v>47</v>
      </c>
      <c r="T18" s="3">
        <f t="shared" si="0"/>
        <v>2430.4</v>
      </c>
      <c r="U18" s="3">
        <f t="shared" si="1"/>
        <v>2615.1999999999998</v>
      </c>
      <c r="V18" s="3">
        <f t="shared" si="2"/>
        <v>34714.400000000001</v>
      </c>
      <c r="W18" s="3">
        <f t="shared" si="3"/>
        <v>1335.684</v>
      </c>
      <c r="X18" s="3">
        <f t="shared" si="4"/>
        <v>1835.1200000000001</v>
      </c>
      <c r="Y18" s="3">
        <f t="shared" si="5"/>
        <v>0</v>
      </c>
      <c r="Z18" s="3">
        <f t="shared" si="6"/>
        <v>11.760000000000002</v>
      </c>
      <c r="AA18" s="3">
        <f t="shared" si="7"/>
        <v>43.136800000000001</v>
      </c>
      <c r="AB18" s="3">
        <f t="shared" si="8"/>
        <v>16.240000000000002</v>
      </c>
      <c r="AC18" s="3">
        <f t="shared" si="9"/>
        <v>3018.3999999999996</v>
      </c>
    </row>
    <row r="19" spans="1:29" x14ac:dyDescent="0.3">
      <c r="A19">
        <v>14</v>
      </c>
      <c r="B19" s="5">
        <v>116395</v>
      </c>
      <c r="C19" t="s">
        <v>127</v>
      </c>
      <c r="D19" s="5" t="s">
        <v>49</v>
      </c>
      <c r="E19" s="5" t="s">
        <v>129</v>
      </c>
      <c r="F19" s="5" t="s">
        <v>55</v>
      </c>
      <c r="G19" s="6">
        <v>1240</v>
      </c>
      <c r="H19" s="5">
        <v>4.72</v>
      </c>
      <c r="I19" s="5">
        <v>95.28</v>
      </c>
      <c r="J19" s="5">
        <v>57.93</v>
      </c>
      <c r="K19" s="6">
        <v>4.8395200000000003</v>
      </c>
      <c r="L19" s="6">
        <v>5.4029999999999996</v>
      </c>
      <c r="M19" s="6">
        <v>0</v>
      </c>
      <c r="N19" s="6">
        <v>0.05</v>
      </c>
      <c r="O19" s="6">
        <v>8.7690000000000004E-2</v>
      </c>
      <c r="P19" s="6">
        <v>1.4999999999999999E-2</v>
      </c>
      <c r="Q19" s="5">
        <v>6.55</v>
      </c>
      <c r="R19" t="s">
        <v>47</v>
      </c>
      <c r="T19" s="3">
        <f t="shared" si="0"/>
        <v>5852.7999999999993</v>
      </c>
      <c r="U19" s="3">
        <f t="shared" si="1"/>
        <v>118147.2</v>
      </c>
      <c r="V19" s="3">
        <f t="shared" si="2"/>
        <v>71833.2</v>
      </c>
      <c r="W19" s="3">
        <f t="shared" si="3"/>
        <v>6001.0048000000006</v>
      </c>
      <c r="X19" s="3">
        <f t="shared" si="4"/>
        <v>6699.7199999999993</v>
      </c>
      <c r="Y19" s="3">
        <f t="shared" si="5"/>
        <v>0</v>
      </c>
      <c r="Z19" s="3">
        <f t="shared" si="6"/>
        <v>62</v>
      </c>
      <c r="AA19" s="3">
        <f t="shared" si="7"/>
        <v>108.73560000000001</v>
      </c>
      <c r="AB19" s="3">
        <f t="shared" si="8"/>
        <v>18.599999999999998</v>
      </c>
      <c r="AC19" s="3">
        <f t="shared" si="9"/>
        <v>8122</v>
      </c>
    </row>
    <row r="20" spans="1:29" x14ac:dyDescent="0.3">
      <c r="A20">
        <v>15</v>
      </c>
      <c r="B20" s="5">
        <v>116394</v>
      </c>
      <c r="C20" t="s">
        <v>127</v>
      </c>
      <c r="D20" s="5" t="s">
        <v>49</v>
      </c>
      <c r="E20" s="5" t="s">
        <v>51</v>
      </c>
      <c r="F20" s="5" t="s">
        <v>55</v>
      </c>
      <c r="G20" s="6">
        <v>1000</v>
      </c>
      <c r="H20" s="5">
        <v>4.6399999999999997</v>
      </c>
      <c r="I20" s="5">
        <v>95.36</v>
      </c>
      <c r="J20" s="5">
        <v>58.17</v>
      </c>
      <c r="K20" s="6">
        <v>4.6877199999999997</v>
      </c>
      <c r="L20" s="6">
        <v>5.4089999999999998</v>
      </c>
      <c r="M20" s="6">
        <v>0</v>
      </c>
      <c r="N20" s="6">
        <v>5.1999999999999998E-2</v>
      </c>
      <c r="O20" s="6">
        <v>8.523E-2</v>
      </c>
      <c r="P20" s="6">
        <v>1.2E-2</v>
      </c>
      <c r="Q20" s="5">
        <v>6.37</v>
      </c>
      <c r="R20" t="s">
        <v>47</v>
      </c>
      <c r="T20" s="3">
        <f t="shared" si="0"/>
        <v>4640</v>
      </c>
      <c r="U20" s="3">
        <f t="shared" si="1"/>
        <v>95360</v>
      </c>
      <c r="V20" s="3">
        <f t="shared" si="2"/>
        <v>58170</v>
      </c>
      <c r="W20" s="3">
        <f t="shared" si="3"/>
        <v>4687.7199999999993</v>
      </c>
      <c r="X20" s="3">
        <f t="shared" si="4"/>
        <v>5409</v>
      </c>
      <c r="Y20" s="3">
        <f t="shared" si="5"/>
        <v>0</v>
      </c>
      <c r="Z20" s="3">
        <f t="shared" si="6"/>
        <v>52</v>
      </c>
      <c r="AA20" s="3">
        <f t="shared" si="7"/>
        <v>85.23</v>
      </c>
      <c r="AB20" s="3">
        <f t="shared" si="8"/>
        <v>12</v>
      </c>
      <c r="AC20" s="3">
        <f t="shared" si="9"/>
        <v>6370</v>
      </c>
    </row>
    <row r="21" spans="1:29" x14ac:dyDescent="0.3">
      <c r="A21">
        <v>16</v>
      </c>
      <c r="B21" s="5">
        <v>116401</v>
      </c>
      <c r="C21" t="s">
        <v>130</v>
      </c>
      <c r="D21" s="5" t="s">
        <v>49</v>
      </c>
      <c r="E21" s="5" t="s">
        <v>59</v>
      </c>
      <c r="F21" s="5" t="s">
        <v>52</v>
      </c>
      <c r="G21" s="6">
        <v>400</v>
      </c>
      <c r="H21" s="5">
        <v>4.43</v>
      </c>
      <c r="I21" s="5">
        <v>4.84</v>
      </c>
      <c r="J21" s="5">
        <v>61.44</v>
      </c>
      <c r="K21" s="6">
        <v>2.4675699999999998</v>
      </c>
      <c r="L21" s="6">
        <v>3.7989999999999999</v>
      </c>
      <c r="M21" s="6">
        <v>0</v>
      </c>
      <c r="N21" s="6">
        <v>2.5999999999999999E-2</v>
      </c>
      <c r="O21" s="6">
        <v>8.0829999999999999E-2</v>
      </c>
      <c r="P21" s="6">
        <v>2.5000000000000001E-2</v>
      </c>
      <c r="Q21" s="5">
        <v>5.56</v>
      </c>
      <c r="R21" t="s">
        <v>47</v>
      </c>
      <c r="T21" s="3">
        <f t="shared" si="0"/>
        <v>1772</v>
      </c>
      <c r="U21" s="3">
        <f t="shared" si="1"/>
        <v>1936</v>
      </c>
      <c r="V21" s="3">
        <f t="shared" si="2"/>
        <v>24576</v>
      </c>
      <c r="W21" s="3">
        <f t="shared" si="3"/>
        <v>987.02799999999991</v>
      </c>
      <c r="X21" s="3">
        <f t="shared" si="4"/>
        <v>1519.6</v>
      </c>
      <c r="Y21" s="3">
        <f t="shared" si="5"/>
        <v>0</v>
      </c>
      <c r="Z21" s="3">
        <f t="shared" si="6"/>
        <v>10.4</v>
      </c>
      <c r="AA21" s="3">
        <f t="shared" si="7"/>
        <v>32.332000000000001</v>
      </c>
      <c r="AB21" s="3">
        <f t="shared" si="8"/>
        <v>10</v>
      </c>
      <c r="AC21" s="3">
        <f t="shared" si="9"/>
        <v>2224</v>
      </c>
    </row>
    <row r="22" spans="1:29" x14ac:dyDescent="0.3">
      <c r="A22">
        <v>17</v>
      </c>
      <c r="B22" s="5">
        <v>116400</v>
      </c>
      <c r="C22" t="s">
        <v>130</v>
      </c>
      <c r="D22" s="5" t="s">
        <v>49</v>
      </c>
      <c r="E22" s="5" t="s">
        <v>54</v>
      </c>
      <c r="F22" s="5" t="s">
        <v>55</v>
      </c>
      <c r="G22" s="6">
        <v>600</v>
      </c>
      <c r="H22" s="5">
        <v>4.53</v>
      </c>
      <c r="I22" s="5">
        <v>95.47</v>
      </c>
      <c r="J22" s="5">
        <v>57.56</v>
      </c>
      <c r="K22" s="6">
        <v>3.8112699999999999</v>
      </c>
      <c r="L22" s="6">
        <v>6.0629999999999997</v>
      </c>
      <c r="M22" s="6">
        <v>0</v>
      </c>
      <c r="N22" s="6">
        <v>4.2000000000000003E-2</v>
      </c>
      <c r="O22" s="6">
        <v>0.1033</v>
      </c>
      <c r="P22" s="6">
        <v>1.0999999999999999E-2</v>
      </c>
      <c r="Q22" s="5">
        <v>7.39</v>
      </c>
      <c r="R22" t="s">
        <v>47</v>
      </c>
      <c r="T22" s="3">
        <f t="shared" si="0"/>
        <v>2718</v>
      </c>
      <c r="U22" s="3">
        <f t="shared" si="1"/>
        <v>57282</v>
      </c>
      <c r="V22" s="3">
        <f t="shared" si="2"/>
        <v>34536</v>
      </c>
      <c r="W22" s="3">
        <f t="shared" si="3"/>
        <v>2286.7620000000002</v>
      </c>
      <c r="X22" s="3">
        <f t="shared" si="4"/>
        <v>3637.7999999999997</v>
      </c>
      <c r="Y22" s="3">
        <f t="shared" si="5"/>
        <v>0</v>
      </c>
      <c r="Z22" s="3">
        <f t="shared" si="6"/>
        <v>25.200000000000003</v>
      </c>
      <c r="AA22" s="3">
        <f t="shared" si="7"/>
        <v>61.980000000000004</v>
      </c>
      <c r="AB22" s="3">
        <f t="shared" si="8"/>
        <v>6.6</v>
      </c>
      <c r="AC22" s="3">
        <f t="shared" si="9"/>
        <v>4434</v>
      </c>
    </row>
    <row r="23" spans="1:29" x14ac:dyDescent="0.3">
      <c r="A23">
        <v>18</v>
      </c>
      <c r="B23" s="5">
        <v>116399</v>
      </c>
      <c r="C23" t="s">
        <v>130</v>
      </c>
      <c r="D23" s="5" t="s">
        <v>49</v>
      </c>
      <c r="E23" s="5" t="s">
        <v>51</v>
      </c>
      <c r="F23" s="5" t="s">
        <v>55</v>
      </c>
      <c r="G23" s="6">
        <v>1000</v>
      </c>
      <c r="H23" s="5">
        <v>4.82</v>
      </c>
      <c r="I23" s="5">
        <v>95.18</v>
      </c>
      <c r="J23" s="5">
        <v>57.61</v>
      </c>
      <c r="K23" s="6">
        <v>3.7887499999999998</v>
      </c>
      <c r="L23" s="6">
        <v>6.1719999999999997</v>
      </c>
      <c r="M23" s="6">
        <v>0</v>
      </c>
      <c r="N23" s="6">
        <v>4.1000000000000002E-2</v>
      </c>
      <c r="O23" s="6">
        <v>0.1067</v>
      </c>
      <c r="P23" s="6">
        <v>1.2999999999999999E-2</v>
      </c>
      <c r="Q23" s="5">
        <v>7.23</v>
      </c>
      <c r="R23" t="s">
        <v>47</v>
      </c>
      <c r="T23" s="3">
        <f t="shared" si="0"/>
        <v>4820</v>
      </c>
      <c r="U23" s="3">
        <f t="shared" si="1"/>
        <v>95180</v>
      </c>
      <c r="V23" s="3">
        <f t="shared" si="2"/>
        <v>57610</v>
      </c>
      <c r="W23" s="3">
        <f t="shared" si="3"/>
        <v>3788.75</v>
      </c>
      <c r="X23" s="3">
        <f t="shared" si="4"/>
        <v>6172</v>
      </c>
      <c r="Y23" s="3">
        <f t="shared" si="5"/>
        <v>0</v>
      </c>
      <c r="Z23" s="3">
        <f t="shared" si="6"/>
        <v>41</v>
      </c>
      <c r="AA23" s="3">
        <f t="shared" si="7"/>
        <v>106.7</v>
      </c>
      <c r="AB23" s="3">
        <f t="shared" si="8"/>
        <v>13</v>
      </c>
      <c r="AC23" s="3">
        <f t="shared" si="9"/>
        <v>7230</v>
      </c>
    </row>
    <row r="24" spans="1:29" x14ac:dyDescent="0.3">
      <c r="A24">
        <v>19</v>
      </c>
      <c r="B24" s="5">
        <v>116148</v>
      </c>
      <c r="C24" t="s">
        <v>48</v>
      </c>
      <c r="D24" s="5" t="s">
        <v>49</v>
      </c>
      <c r="E24" s="5" t="s">
        <v>51</v>
      </c>
      <c r="F24" s="5" t="s">
        <v>52</v>
      </c>
      <c r="G24" s="4">
        <v>400</v>
      </c>
      <c r="H24" s="4">
        <v>4.33</v>
      </c>
      <c r="I24" s="4">
        <v>4.76</v>
      </c>
      <c r="J24" s="4">
        <v>57.69</v>
      </c>
      <c r="K24" s="4">
        <v>3.1458599999999999</v>
      </c>
      <c r="L24" s="4">
        <v>6.2009999999999996</v>
      </c>
      <c r="M24" s="4">
        <v>0</v>
      </c>
      <c r="N24" s="4">
        <v>3.4000000000000002E-2</v>
      </c>
      <c r="O24" s="4">
        <v>0.10249999999999999</v>
      </c>
      <c r="P24" s="4">
        <v>8.0000000000000002E-3</v>
      </c>
      <c r="Q24" s="4">
        <v>7.81</v>
      </c>
      <c r="R24" t="s">
        <v>47</v>
      </c>
      <c r="T24" s="3">
        <f>$G24*H24</f>
        <v>1732</v>
      </c>
      <c r="U24" s="3">
        <f>$G24*I24</f>
        <v>1904</v>
      </c>
      <c r="V24" s="3">
        <f>$G24*J24</f>
        <v>23076</v>
      </c>
      <c r="W24" s="3">
        <f t="shared" ref="W24:AA24" si="10">$G24*K24</f>
        <v>1258.3440000000001</v>
      </c>
      <c r="X24" s="3">
        <f t="shared" si="10"/>
        <v>2480.3999999999996</v>
      </c>
      <c r="Y24" s="3">
        <f t="shared" si="10"/>
        <v>0</v>
      </c>
      <c r="Z24" s="3">
        <f t="shared" si="10"/>
        <v>13.600000000000001</v>
      </c>
      <c r="AA24" s="3">
        <f t="shared" si="10"/>
        <v>41</v>
      </c>
      <c r="AB24" s="3">
        <f t="shared" ref="AB24" si="11">$G24*P24</f>
        <v>3.2</v>
      </c>
      <c r="AC24" s="3">
        <f t="shared" ref="AC24" si="12">$G24*Q24</f>
        <v>3124</v>
      </c>
    </row>
    <row r="25" spans="1:29" x14ac:dyDescent="0.3">
      <c r="A25">
        <v>20</v>
      </c>
      <c r="B25" s="5">
        <v>116147</v>
      </c>
      <c r="C25" t="s">
        <v>48</v>
      </c>
      <c r="D25" s="5" t="s">
        <v>49</v>
      </c>
      <c r="E25" s="5" t="s">
        <v>54</v>
      </c>
      <c r="F25" s="5" t="s">
        <v>55</v>
      </c>
      <c r="G25" s="4">
        <v>600</v>
      </c>
      <c r="H25" s="4">
        <v>4.5999999999999996</v>
      </c>
      <c r="I25" s="4">
        <v>95.4</v>
      </c>
      <c r="J25" s="4">
        <v>56.81</v>
      </c>
      <c r="K25" s="4">
        <v>4.8179499999999997</v>
      </c>
      <c r="L25" s="4">
        <v>6.4850000000000003</v>
      </c>
      <c r="M25" s="4">
        <v>0</v>
      </c>
      <c r="N25" s="4">
        <v>7.0999999999999994E-2</v>
      </c>
      <c r="O25" s="4">
        <v>0.10009999999999999</v>
      </c>
      <c r="P25" s="4">
        <v>3.5999999999999997E-2</v>
      </c>
      <c r="Q25" s="4">
        <v>6.99</v>
      </c>
      <c r="R25" t="s">
        <v>47</v>
      </c>
      <c r="T25" s="3">
        <f t="shared" ref="T25:T70" si="13">$G25*H25</f>
        <v>2760</v>
      </c>
      <c r="U25" s="3">
        <f t="shared" ref="U25:U70" si="14">$G25*I25</f>
        <v>57240</v>
      </c>
      <c r="V25" s="3">
        <f t="shared" ref="V25:V70" si="15">$G25*J25</f>
        <v>34086</v>
      </c>
      <c r="W25" s="3">
        <f t="shared" ref="W25:W70" si="16">$G25*K25</f>
        <v>2890.77</v>
      </c>
      <c r="X25" s="3">
        <f t="shared" ref="X25:X70" si="17">$G25*L25</f>
        <v>3891</v>
      </c>
      <c r="Y25" s="3">
        <f t="shared" ref="Y25:Y70" si="18">$G25*M25</f>
        <v>0</v>
      </c>
      <c r="Z25" s="3">
        <f t="shared" ref="Z25:Z70" si="19">$G25*N25</f>
        <v>42.599999999999994</v>
      </c>
      <c r="AA25" s="3">
        <f t="shared" ref="AA25:AA70" si="20">$G25*O25</f>
        <v>60.059999999999995</v>
      </c>
      <c r="AB25" s="3">
        <f t="shared" ref="AB25:AB70" si="21">$G25*P25</f>
        <v>21.599999999999998</v>
      </c>
      <c r="AC25" s="3">
        <f t="shared" ref="AC25:AC70" si="22">$G25*Q25</f>
        <v>4194</v>
      </c>
    </row>
    <row r="26" spans="1:29" x14ac:dyDescent="0.3">
      <c r="A26">
        <v>21</v>
      </c>
      <c r="B26" s="5">
        <v>116146</v>
      </c>
      <c r="C26" t="s">
        <v>48</v>
      </c>
      <c r="D26" s="5" t="s">
        <v>49</v>
      </c>
      <c r="E26" s="5" t="s">
        <v>51</v>
      </c>
      <c r="F26" s="5" t="s">
        <v>55</v>
      </c>
      <c r="G26" s="4">
        <v>1000</v>
      </c>
      <c r="H26" s="4">
        <v>4.75</v>
      </c>
      <c r="I26" s="4">
        <v>95.25</v>
      </c>
      <c r="J26" s="4">
        <v>56.07</v>
      </c>
      <c r="K26" s="4">
        <v>4.7983099999999999</v>
      </c>
      <c r="L26" s="4">
        <v>7.1470000000000002</v>
      </c>
      <c r="M26" s="4">
        <v>0</v>
      </c>
      <c r="N26" s="4">
        <v>7.2999999999999995E-2</v>
      </c>
      <c r="O26" s="4">
        <v>0.1048</v>
      </c>
      <c r="P26" s="4">
        <v>1.0999999999999999E-2</v>
      </c>
      <c r="Q26" s="4">
        <v>7.44</v>
      </c>
      <c r="R26" t="s">
        <v>47</v>
      </c>
      <c r="T26" s="3">
        <f t="shared" si="13"/>
        <v>4750</v>
      </c>
      <c r="U26" s="3">
        <f t="shared" si="14"/>
        <v>95250</v>
      </c>
      <c r="V26" s="3">
        <f t="shared" si="15"/>
        <v>56070</v>
      </c>
      <c r="W26" s="3">
        <f t="shared" si="16"/>
        <v>4798.3099999999995</v>
      </c>
      <c r="X26" s="3">
        <f t="shared" si="17"/>
        <v>7147</v>
      </c>
      <c r="Y26" s="3">
        <f t="shared" si="18"/>
        <v>0</v>
      </c>
      <c r="Z26" s="3">
        <f t="shared" si="19"/>
        <v>73</v>
      </c>
      <c r="AA26" s="3">
        <f t="shared" si="20"/>
        <v>104.80000000000001</v>
      </c>
      <c r="AB26" s="3">
        <f t="shared" si="21"/>
        <v>11</v>
      </c>
      <c r="AC26" s="3">
        <f t="shared" si="22"/>
        <v>7440</v>
      </c>
    </row>
    <row r="27" spans="1:29" x14ac:dyDescent="0.3">
      <c r="A27">
        <v>22</v>
      </c>
      <c r="B27" s="5">
        <v>116354</v>
      </c>
      <c r="C27" t="s">
        <v>58</v>
      </c>
      <c r="D27" s="5" t="s">
        <v>49</v>
      </c>
      <c r="E27" s="5" t="s">
        <v>59</v>
      </c>
      <c r="F27" s="5" t="s">
        <v>52</v>
      </c>
      <c r="G27" s="4">
        <v>300</v>
      </c>
      <c r="H27" s="4">
        <v>4.49</v>
      </c>
      <c r="I27" s="4">
        <v>4.87</v>
      </c>
      <c r="J27" s="4">
        <v>63.85</v>
      </c>
      <c r="K27" s="4">
        <v>1.0632900000000001</v>
      </c>
      <c r="L27" s="4">
        <v>1.837</v>
      </c>
      <c r="M27" s="4">
        <v>0</v>
      </c>
      <c r="N27" s="4">
        <v>1.7999999999999999E-2</v>
      </c>
      <c r="O27" s="4">
        <v>0.1429</v>
      </c>
      <c r="P27" s="4">
        <v>4.0000000000000001E-3</v>
      </c>
      <c r="Q27" s="4">
        <v>5.35</v>
      </c>
      <c r="R27" t="s">
        <v>47</v>
      </c>
      <c r="T27" s="3">
        <f t="shared" si="13"/>
        <v>1347</v>
      </c>
      <c r="U27" s="3">
        <f t="shared" si="14"/>
        <v>1461</v>
      </c>
      <c r="V27" s="3">
        <f t="shared" si="15"/>
        <v>19155</v>
      </c>
      <c r="W27" s="3">
        <f t="shared" si="16"/>
        <v>318.98700000000002</v>
      </c>
      <c r="X27" s="3">
        <f t="shared" si="17"/>
        <v>551.1</v>
      </c>
      <c r="Y27" s="3">
        <f t="shared" si="18"/>
        <v>0</v>
      </c>
      <c r="Z27" s="3">
        <f t="shared" si="19"/>
        <v>5.3999999999999995</v>
      </c>
      <c r="AA27" s="3">
        <f t="shared" si="20"/>
        <v>42.87</v>
      </c>
      <c r="AB27" s="3">
        <f t="shared" si="21"/>
        <v>1.2</v>
      </c>
      <c r="AC27" s="3">
        <f t="shared" si="22"/>
        <v>1605</v>
      </c>
    </row>
    <row r="28" spans="1:29" x14ac:dyDescent="0.3">
      <c r="A28">
        <v>23</v>
      </c>
      <c r="B28" s="5">
        <v>116353</v>
      </c>
      <c r="C28" t="s">
        <v>58</v>
      </c>
      <c r="D28" s="5" t="s">
        <v>49</v>
      </c>
      <c r="E28" s="5" t="s">
        <v>59</v>
      </c>
      <c r="F28" s="5" t="s">
        <v>55</v>
      </c>
      <c r="G28" s="4">
        <v>1200</v>
      </c>
      <c r="H28" s="4">
        <v>4.84</v>
      </c>
      <c r="I28" s="4">
        <v>95.16</v>
      </c>
      <c r="J28" s="4">
        <v>59.02</v>
      </c>
      <c r="K28" s="4">
        <v>2.9952899999999998</v>
      </c>
      <c r="L28" s="4">
        <v>4.8099999999999996</v>
      </c>
      <c r="M28" s="4">
        <v>0</v>
      </c>
      <c r="N28" s="4">
        <v>4.4999999999999998E-2</v>
      </c>
      <c r="O28" s="4">
        <v>0.15329999999999999</v>
      </c>
      <c r="P28" s="4">
        <v>7.0000000000000001E-3</v>
      </c>
      <c r="Q28" s="4">
        <v>7.18</v>
      </c>
      <c r="R28" t="s">
        <v>47</v>
      </c>
      <c r="T28" s="3">
        <f t="shared" si="13"/>
        <v>5808</v>
      </c>
      <c r="U28" s="3">
        <f t="shared" si="14"/>
        <v>114192</v>
      </c>
      <c r="V28" s="3">
        <f t="shared" si="15"/>
        <v>70824</v>
      </c>
      <c r="W28" s="3">
        <f t="shared" si="16"/>
        <v>3594.348</v>
      </c>
      <c r="X28" s="3">
        <f t="shared" si="17"/>
        <v>5771.9999999999991</v>
      </c>
      <c r="Y28" s="3">
        <f t="shared" si="18"/>
        <v>0</v>
      </c>
      <c r="Z28" s="3">
        <f t="shared" si="19"/>
        <v>54</v>
      </c>
      <c r="AA28" s="3">
        <f t="shared" si="20"/>
        <v>183.95999999999998</v>
      </c>
      <c r="AB28" s="3">
        <f t="shared" si="21"/>
        <v>8.4</v>
      </c>
      <c r="AC28" s="3">
        <f t="shared" si="22"/>
        <v>8616</v>
      </c>
    </row>
    <row r="29" spans="1:29" x14ac:dyDescent="0.3">
      <c r="A29">
        <v>24</v>
      </c>
      <c r="B29" s="5">
        <v>116356</v>
      </c>
      <c r="C29" t="s">
        <v>60</v>
      </c>
      <c r="D29" s="5" t="s">
        <v>49</v>
      </c>
      <c r="E29" s="5" t="s">
        <v>51</v>
      </c>
      <c r="F29" s="5" t="s">
        <v>52</v>
      </c>
      <c r="G29" s="4">
        <v>200</v>
      </c>
      <c r="H29" s="4">
        <v>3.35</v>
      </c>
      <c r="I29" s="4">
        <v>4.07</v>
      </c>
      <c r="J29" s="4">
        <v>64.34</v>
      </c>
      <c r="K29" s="4">
        <v>2.0661</v>
      </c>
      <c r="L29" s="4">
        <v>2.4609999999999999</v>
      </c>
      <c r="M29" s="4">
        <v>0</v>
      </c>
      <c r="N29" s="4">
        <v>2.4E-2</v>
      </c>
      <c r="O29" s="4">
        <v>6.6439999999999999E-2</v>
      </c>
      <c r="P29" s="4">
        <v>1.4999999999999999E-2</v>
      </c>
      <c r="Q29" s="4">
        <v>3.22</v>
      </c>
      <c r="R29" t="s">
        <v>47</v>
      </c>
      <c r="T29" s="3">
        <f t="shared" si="13"/>
        <v>670</v>
      </c>
      <c r="U29" s="3">
        <f t="shared" si="14"/>
        <v>814</v>
      </c>
      <c r="V29" s="3">
        <f t="shared" si="15"/>
        <v>12868</v>
      </c>
      <c r="W29" s="3">
        <f t="shared" si="16"/>
        <v>413.22</v>
      </c>
      <c r="X29" s="3">
        <f t="shared" si="17"/>
        <v>492.2</v>
      </c>
      <c r="Y29" s="3">
        <f t="shared" si="18"/>
        <v>0</v>
      </c>
      <c r="Z29" s="3">
        <f t="shared" si="19"/>
        <v>4.8</v>
      </c>
      <c r="AA29" s="3">
        <f t="shared" si="20"/>
        <v>13.288</v>
      </c>
      <c r="AB29" s="3">
        <f t="shared" si="21"/>
        <v>3</v>
      </c>
      <c r="AC29" s="3">
        <f t="shared" si="22"/>
        <v>644</v>
      </c>
    </row>
    <row r="30" spans="1:29" x14ac:dyDescent="0.3">
      <c r="A30">
        <v>25</v>
      </c>
      <c r="B30" s="5">
        <v>116355</v>
      </c>
      <c r="C30" t="s">
        <v>60</v>
      </c>
      <c r="D30" s="5" t="s">
        <v>49</v>
      </c>
      <c r="E30" s="5" t="s">
        <v>51</v>
      </c>
      <c r="F30" s="5" t="s">
        <v>55</v>
      </c>
      <c r="G30" s="4">
        <v>800</v>
      </c>
      <c r="H30" s="4">
        <v>4.6399999999999997</v>
      </c>
      <c r="I30" s="4">
        <v>95.36</v>
      </c>
      <c r="J30" s="4">
        <v>59.83</v>
      </c>
      <c r="K30" s="4">
        <v>5.1692400000000003</v>
      </c>
      <c r="L30" s="4">
        <v>4.181</v>
      </c>
      <c r="M30" s="4">
        <v>7.0000000000000001E-3</v>
      </c>
      <c r="N30" s="4">
        <v>8.6999999999999994E-2</v>
      </c>
      <c r="O30" s="4">
        <v>5.2019999999999997E-2</v>
      </c>
      <c r="P30" s="4">
        <v>0.02</v>
      </c>
      <c r="Q30" s="4">
        <v>4.71</v>
      </c>
      <c r="R30" t="s">
        <v>47</v>
      </c>
      <c r="T30" s="3">
        <f t="shared" si="13"/>
        <v>3711.9999999999995</v>
      </c>
      <c r="U30" s="3">
        <f t="shared" si="14"/>
        <v>76288</v>
      </c>
      <c r="V30" s="3">
        <f t="shared" si="15"/>
        <v>47864</v>
      </c>
      <c r="W30" s="3">
        <f t="shared" si="16"/>
        <v>4135.3919999999998</v>
      </c>
      <c r="X30" s="3">
        <f t="shared" si="17"/>
        <v>3344.8</v>
      </c>
      <c r="Y30" s="3">
        <f t="shared" si="18"/>
        <v>5.6000000000000005</v>
      </c>
      <c r="Z30" s="3">
        <f t="shared" si="19"/>
        <v>69.599999999999994</v>
      </c>
      <c r="AA30" s="3">
        <f t="shared" si="20"/>
        <v>41.616</v>
      </c>
      <c r="AB30" s="3">
        <f t="shared" si="21"/>
        <v>16</v>
      </c>
      <c r="AC30" s="3">
        <f t="shared" si="22"/>
        <v>3768</v>
      </c>
    </row>
    <row r="31" spans="1:29" x14ac:dyDescent="0.3">
      <c r="A31">
        <v>26</v>
      </c>
      <c r="B31" s="5">
        <v>116134</v>
      </c>
      <c r="C31" t="s">
        <v>63</v>
      </c>
      <c r="D31" s="5" t="s">
        <v>49</v>
      </c>
      <c r="E31" s="5" t="s">
        <v>64</v>
      </c>
      <c r="F31" s="5" t="s">
        <v>55</v>
      </c>
      <c r="G31" s="4">
        <v>1200</v>
      </c>
      <c r="H31" s="4">
        <v>4.8899999999999997</v>
      </c>
      <c r="I31" s="4">
        <v>95.11</v>
      </c>
      <c r="J31" s="4">
        <v>64.17</v>
      </c>
      <c r="K31" s="4">
        <v>2.6931600000000002</v>
      </c>
      <c r="L31" s="4">
        <v>2.298</v>
      </c>
      <c r="M31" s="4">
        <v>0</v>
      </c>
      <c r="N31" s="4">
        <v>4.7E-2</v>
      </c>
      <c r="O31" s="4">
        <v>4.7849999999999997E-2</v>
      </c>
      <c r="P31" s="4">
        <v>6.7000000000000004E-2</v>
      </c>
      <c r="Q31" s="4">
        <v>2.94</v>
      </c>
      <c r="R31" t="s">
        <v>47</v>
      </c>
      <c r="T31" s="3">
        <f t="shared" si="13"/>
        <v>5868</v>
      </c>
      <c r="U31" s="3">
        <f t="shared" si="14"/>
        <v>114132</v>
      </c>
      <c r="V31" s="3">
        <f t="shared" si="15"/>
        <v>77004</v>
      </c>
      <c r="W31" s="3">
        <f t="shared" si="16"/>
        <v>3231.7920000000004</v>
      </c>
      <c r="X31" s="3">
        <f t="shared" si="17"/>
        <v>2757.6</v>
      </c>
      <c r="Y31" s="3">
        <f t="shared" si="18"/>
        <v>0</v>
      </c>
      <c r="Z31" s="3">
        <f t="shared" si="19"/>
        <v>56.4</v>
      </c>
      <c r="AA31" s="3">
        <f t="shared" si="20"/>
        <v>57.419999999999995</v>
      </c>
      <c r="AB31" s="3">
        <f t="shared" si="21"/>
        <v>80.400000000000006</v>
      </c>
      <c r="AC31" s="3">
        <f t="shared" si="22"/>
        <v>3528</v>
      </c>
    </row>
    <row r="32" spans="1:29" x14ac:dyDescent="0.3">
      <c r="A32">
        <v>27</v>
      </c>
      <c r="B32" s="5">
        <v>116135</v>
      </c>
      <c r="C32" t="s">
        <v>63</v>
      </c>
      <c r="D32" s="5" t="s">
        <v>49</v>
      </c>
      <c r="E32" s="5" t="s">
        <v>65</v>
      </c>
      <c r="F32" s="5" t="s">
        <v>52</v>
      </c>
      <c r="G32" s="4">
        <v>300</v>
      </c>
      <c r="H32" s="4">
        <v>4.25</v>
      </c>
      <c r="I32" s="4">
        <v>4.67</v>
      </c>
      <c r="J32" s="4">
        <v>65</v>
      </c>
      <c r="K32" s="4">
        <v>1.5804</v>
      </c>
      <c r="L32" s="4">
        <v>1.425</v>
      </c>
      <c r="M32" s="4">
        <v>0</v>
      </c>
      <c r="N32" s="4">
        <v>2.4E-2</v>
      </c>
      <c r="O32" s="4">
        <v>4.9599999999999998E-2</v>
      </c>
      <c r="P32" s="4">
        <v>1.0999999999999999E-2</v>
      </c>
      <c r="Q32" s="4">
        <v>3.42</v>
      </c>
      <c r="R32" t="s">
        <v>47</v>
      </c>
      <c r="T32" s="3">
        <f t="shared" si="13"/>
        <v>1275</v>
      </c>
      <c r="U32" s="3">
        <f t="shared" si="14"/>
        <v>1401</v>
      </c>
      <c r="V32" s="3">
        <f t="shared" si="15"/>
        <v>19500</v>
      </c>
      <c r="W32" s="3">
        <f t="shared" si="16"/>
        <v>474.12</v>
      </c>
      <c r="X32" s="3">
        <f t="shared" si="17"/>
        <v>427.5</v>
      </c>
      <c r="Y32" s="3">
        <f t="shared" si="18"/>
        <v>0</v>
      </c>
      <c r="Z32" s="3">
        <f t="shared" si="19"/>
        <v>7.2</v>
      </c>
      <c r="AA32" s="3">
        <f t="shared" si="20"/>
        <v>14.879999999999999</v>
      </c>
      <c r="AB32" s="3">
        <f t="shared" si="21"/>
        <v>3.3</v>
      </c>
      <c r="AC32" s="3">
        <f t="shared" si="22"/>
        <v>1026</v>
      </c>
    </row>
    <row r="33" spans="1:29" x14ac:dyDescent="0.3">
      <c r="A33">
        <v>28</v>
      </c>
      <c r="B33" s="5">
        <v>112868</v>
      </c>
      <c r="C33" t="s">
        <v>66</v>
      </c>
      <c r="D33" s="5" t="s">
        <v>49</v>
      </c>
      <c r="E33" s="5" t="s">
        <v>51</v>
      </c>
      <c r="F33" s="5" t="s">
        <v>52</v>
      </c>
      <c r="G33" s="4">
        <v>100</v>
      </c>
      <c r="H33" s="4">
        <v>4.34</v>
      </c>
      <c r="I33" s="4">
        <v>4.6500000000000004</v>
      </c>
      <c r="J33" s="4">
        <v>64.850999999999999</v>
      </c>
      <c r="K33" s="4">
        <v>1.59</v>
      </c>
      <c r="L33" s="4">
        <v>1.6930000000000001</v>
      </c>
      <c r="M33" s="4" t="s">
        <v>47</v>
      </c>
      <c r="N33" s="4" t="s">
        <v>47</v>
      </c>
      <c r="O33" s="4">
        <v>5.5E-2</v>
      </c>
      <c r="P33" s="4" t="s">
        <v>47</v>
      </c>
      <c r="Q33" s="4">
        <v>3.77</v>
      </c>
      <c r="R33" t="s">
        <v>47</v>
      </c>
      <c r="T33" s="3">
        <f t="shared" si="13"/>
        <v>434</v>
      </c>
      <c r="U33" s="3">
        <f t="shared" si="14"/>
        <v>465.00000000000006</v>
      </c>
      <c r="V33" s="3">
        <f t="shared" si="15"/>
        <v>6485.1</v>
      </c>
      <c r="W33" s="3">
        <f t="shared" si="16"/>
        <v>159</v>
      </c>
      <c r="X33" s="3">
        <f t="shared" si="17"/>
        <v>169.3</v>
      </c>
      <c r="Y33" s="3"/>
      <c r="Z33" s="3"/>
      <c r="AA33" s="3">
        <f t="shared" si="20"/>
        <v>5.5</v>
      </c>
      <c r="AB33" s="3"/>
      <c r="AC33" s="3">
        <f t="shared" si="22"/>
        <v>377</v>
      </c>
    </row>
    <row r="34" spans="1:29" x14ac:dyDescent="0.3">
      <c r="A34">
        <v>29</v>
      </c>
      <c r="B34" s="5">
        <v>112867</v>
      </c>
      <c r="C34" t="s">
        <v>66</v>
      </c>
      <c r="D34" s="5" t="s">
        <v>49</v>
      </c>
      <c r="E34" s="5" t="s">
        <v>51</v>
      </c>
      <c r="F34" s="5" t="s">
        <v>55</v>
      </c>
      <c r="G34" s="4">
        <v>400</v>
      </c>
      <c r="H34" s="4">
        <v>4.7699999999999996</v>
      </c>
      <c r="I34" s="4">
        <v>95.23</v>
      </c>
      <c r="J34" s="4">
        <v>60.826000000000001</v>
      </c>
      <c r="K34" s="4">
        <v>4.47</v>
      </c>
      <c r="L34" s="4">
        <v>3.895</v>
      </c>
      <c r="M34" s="4" t="s">
        <v>47</v>
      </c>
      <c r="N34" s="4" t="s">
        <v>47</v>
      </c>
      <c r="O34" s="4">
        <v>4.9000000000000002E-2</v>
      </c>
      <c r="P34" s="4" t="s">
        <v>47</v>
      </c>
      <c r="Q34" s="4">
        <v>4.5</v>
      </c>
      <c r="R34" t="s">
        <v>47</v>
      </c>
      <c r="T34" s="3">
        <f t="shared" si="13"/>
        <v>1907.9999999999998</v>
      </c>
      <c r="U34" s="3">
        <f t="shared" si="14"/>
        <v>38092</v>
      </c>
      <c r="V34" s="3">
        <f t="shared" si="15"/>
        <v>24330.400000000001</v>
      </c>
      <c r="W34" s="3">
        <f t="shared" si="16"/>
        <v>1788</v>
      </c>
      <c r="X34" s="3">
        <f t="shared" si="17"/>
        <v>1558</v>
      </c>
      <c r="Y34" s="3"/>
      <c r="Z34" s="3"/>
      <c r="AA34" s="3">
        <f t="shared" si="20"/>
        <v>19.600000000000001</v>
      </c>
      <c r="AB34" s="3"/>
      <c r="AC34" s="3">
        <f t="shared" si="22"/>
        <v>1800</v>
      </c>
    </row>
    <row r="35" spans="1:29" x14ac:dyDescent="0.3">
      <c r="A35">
        <v>30</v>
      </c>
      <c r="B35" s="5">
        <v>112876</v>
      </c>
      <c r="C35" t="s">
        <v>67</v>
      </c>
      <c r="D35" s="5" t="s">
        <v>49</v>
      </c>
      <c r="E35" s="5" t="s">
        <v>68</v>
      </c>
      <c r="F35" s="5" t="s">
        <v>52</v>
      </c>
      <c r="G35" s="4">
        <v>100</v>
      </c>
      <c r="H35" s="4">
        <v>4.45</v>
      </c>
      <c r="I35" s="4">
        <v>4.66</v>
      </c>
      <c r="J35" s="4">
        <v>62.838000000000001</v>
      </c>
      <c r="K35" s="4">
        <v>3.5</v>
      </c>
      <c r="L35" s="4">
        <v>2.141</v>
      </c>
      <c r="M35" s="4" t="s">
        <v>47</v>
      </c>
      <c r="N35" s="4" t="s">
        <v>47</v>
      </c>
      <c r="O35" s="4">
        <v>3.1E-2</v>
      </c>
      <c r="P35" s="4" t="s">
        <v>47</v>
      </c>
      <c r="Q35" s="4">
        <v>3.77</v>
      </c>
      <c r="R35" t="s">
        <v>69</v>
      </c>
      <c r="T35" s="3">
        <f t="shared" si="13"/>
        <v>445</v>
      </c>
      <c r="U35" s="3">
        <f t="shared" si="14"/>
        <v>466</v>
      </c>
      <c r="V35" s="3">
        <f t="shared" si="15"/>
        <v>6283.8</v>
      </c>
      <c r="W35" s="3">
        <f t="shared" si="16"/>
        <v>350</v>
      </c>
      <c r="X35" s="3">
        <f t="shared" si="17"/>
        <v>214.1</v>
      </c>
      <c r="Y35" s="3"/>
      <c r="Z35" s="3"/>
      <c r="AA35" s="3">
        <f t="shared" si="20"/>
        <v>3.1</v>
      </c>
      <c r="AB35" s="3"/>
      <c r="AC35" s="3">
        <f t="shared" si="22"/>
        <v>377</v>
      </c>
    </row>
    <row r="36" spans="1:29" x14ac:dyDescent="0.3">
      <c r="A36">
        <v>31</v>
      </c>
      <c r="B36" s="5">
        <v>112875</v>
      </c>
      <c r="C36" t="s">
        <v>67</v>
      </c>
      <c r="D36" s="5" t="s">
        <v>49</v>
      </c>
      <c r="E36" s="5" t="s">
        <v>68</v>
      </c>
      <c r="F36" s="5" t="s">
        <v>55</v>
      </c>
      <c r="G36" s="4">
        <v>400</v>
      </c>
      <c r="H36" s="4">
        <v>4.59</v>
      </c>
      <c r="I36" s="4">
        <v>95.41</v>
      </c>
      <c r="J36" s="4">
        <v>61.944000000000003</v>
      </c>
      <c r="K36" s="4">
        <v>3.82</v>
      </c>
      <c r="L36" s="4">
        <v>2.8959999999999999</v>
      </c>
      <c r="M36" s="4" t="s">
        <v>47</v>
      </c>
      <c r="N36" s="4" t="s">
        <v>47</v>
      </c>
      <c r="O36" s="4">
        <v>4.2000000000000003E-2</v>
      </c>
      <c r="P36" s="4" t="s">
        <v>47</v>
      </c>
      <c r="Q36" s="4">
        <v>4.59</v>
      </c>
      <c r="R36" t="s">
        <v>69</v>
      </c>
      <c r="T36" s="3">
        <f t="shared" si="13"/>
        <v>1836</v>
      </c>
      <c r="U36" s="3">
        <f t="shared" si="14"/>
        <v>38164</v>
      </c>
      <c r="V36" s="3">
        <f t="shared" si="15"/>
        <v>24777.600000000002</v>
      </c>
      <c r="W36" s="3">
        <f t="shared" si="16"/>
        <v>1528</v>
      </c>
      <c r="X36" s="3">
        <f t="shared" si="17"/>
        <v>1158.3999999999999</v>
      </c>
      <c r="Y36" s="3"/>
      <c r="Z36" s="3"/>
      <c r="AA36" s="3">
        <f t="shared" si="20"/>
        <v>16.8</v>
      </c>
      <c r="AB36" s="3"/>
      <c r="AC36" s="3">
        <f t="shared" si="22"/>
        <v>1836</v>
      </c>
    </row>
    <row r="37" spans="1:29" x14ac:dyDescent="0.3">
      <c r="A37">
        <v>32</v>
      </c>
      <c r="B37" s="5">
        <v>112899</v>
      </c>
      <c r="C37" t="s">
        <v>70</v>
      </c>
      <c r="D37" s="5" t="s">
        <v>49</v>
      </c>
      <c r="E37" s="5" t="s">
        <v>68</v>
      </c>
      <c r="F37" s="5" t="s">
        <v>52</v>
      </c>
      <c r="G37" s="4">
        <v>140</v>
      </c>
      <c r="H37" s="4">
        <v>4.74</v>
      </c>
      <c r="I37" s="4">
        <v>4.95</v>
      </c>
      <c r="J37" s="4">
        <v>63.39</v>
      </c>
      <c r="K37" s="4">
        <v>2.5540799999999999</v>
      </c>
      <c r="L37" s="4">
        <v>2.169</v>
      </c>
      <c r="M37" s="4">
        <v>0</v>
      </c>
      <c r="N37" s="4">
        <v>2.8000000000000001E-2</v>
      </c>
      <c r="O37" s="4">
        <v>5.407E-2</v>
      </c>
      <c r="P37" s="4">
        <v>0.11899999999999999</v>
      </c>
      <c r="Q37" s="4">
        <v>4.1100000000000003</v>
      </c>
      <c r="R37" t="s">
        <v>71</v>
      </c>
      <c r="T37" s="3">
        <f t="shared" si="13"/>
        <v>663.6</v>
      </c>
      <c r="U37" s="3">
        <f t="shared" si="14"/>
        <v>693</v>
      </c>
      <c r="V37" s="3">
        <f t="shared" si="15"/>
        <v>8874.6</v>
      </c>
      <c r="W37" s="3">
        <f t="shared" si="16"/>
        <v>357.57119999999998</v>
      </c>
      <c r="X37" s="3">
        <f t="shared" si="17"/>
        <v>303.66000000000003</v>
      </c>
      <c r="Y37" s="3">
        <f t="shared" si="18"/>
        <v>0</v>
      </c>
      <c r="Z37" s="3">
        <f t="shared" si="19"/>
        <v>3.92</v>
      </c>
      <c r="AA37" s="3">
        <f t="shared" si="20"/>
        <v>7.5697999999999999</v>
      </c>
      <c r="AB37" s="3">
        <f t="shared" si="21"/>
        <v>16.66</v>
      </c>
      <c r="AC37" s="3">
        <f t="shared" si="22"/>
        <v>575.40000000000009</v>
      </c>
    </row>
    <row r="38" spans="1:29" x14ac:dyDescent="0.3">
      <c r="A38">
        <v>33</v>
      </c>
      <c r="B38" s="5">
        <v>112898</v>
      </c>
      <c r="C38" t="s">
        <v>70</v>
      </c>
      <c r="D38" s="5" t="s">
        <v>49</v>
      </c>
      <c r="E38" s="5" t="s">
        <v>68</v>
      </c>
      <c r="F38" s="5" t="s">
        <v>55</v>
      </c>
      <c r="G38" s="4">
        <v>560</v>
      </c>
      <c r="H38" s="4">
        <v>4.68</v>
      </c>
      <c r="I38" s="4">
        <v>95.32</v>
      </c>
      <c r="J38" s="4">
        <v>61.03</v>
      </c>
      <c r="K38" s="4">
        <v>4.0580499999999997</v>
      </c>
      <c r="L38" s="4">
        <v>3.57</v>
      </c>
      <c r="M38" s="4">
        <v>0</v>
      </c>
      <c r="N38" s="4">
        <v>5.8999999999999997E-2</v>
      </c>
      <c r="O38" s="4">
        <v>5.6070000000000002E-2</v>
      </c>
      <c r="P38" s="4">
        <v>5.2999999999999999E-2</v>
      </c>
      <c r="Q38" s="4">
        <v>4.7</v>
      </c>
      <c r="R38" t="s">
        <v>71</v>
      </c>
      <c r="T38" s="3">
        <f t="shared" si="13"/>
        <v>2620.7999999999997</v>
      </c>
      <c r="U38" s="3">
        <f t="shared" si="14"/>
        <v>53379.199999999997</v>
      </c>
      <c r="V38" s="3">
        <f t="shared" si="15"/>
        <v>34176.800000000003</v>
      </c>
      <c r="W38" s="3">
        <f t="shared" si="16"/>
        <v>2272.5079999999998</v>
      </c>
      <c r="X38" s="3">
        <f t="shared" si="17"/>
        <v>1999.1999999999998</v>
      </c>
      <c r="Y38" s="3">
        <f t="shared" si="18"/>
        <v>0</v>
      </c>
      <c r="Z38" s="3">
        <f t="shared" si="19"/>
        <v>33.04</v>
      </c>
      <c r="AA38" s="3">
        <f t="shared" si="20"/>
        <v>31.3992</v>
      </c>
      <c r="AB38" s="3">
        <f t="shared" si="21"/>
        <v>29.68</v>
      </c>
      <c r="AC38" s="3">
        <f t="shared" si="22"/>
        <v>2632</v>
      </c>
    </row>
    <row r="39" spans="1:29" x14ac:dyDescent="0.3">
      <c r="A39">
        <v>34</v>
      </c>
      <c r="B39" s="5">
        <v>112901</v>
      </c>
      <c r="C39" t="s">
        <v>72</v>
      </c>
      <c r="D39" s="5" t="s">
        <v>49</v>
      </c>
      <c r="E39" s="5" t="s">
        <v>68</v>
      </c>
      <c r="F39" s="5" t="s">
        <v>52</v>
      </c>
      <c r="G39" s="4">
        <v>300</v>
      </c>
      <c r="H39" s="4">
        <v>4.75</v>
      </c>
      <c r="I39" s="4">
        <v>4.92</v>
      </c>
      <c r="J39" s="4">
        <v>64.53</v>
      </c>
      <c r="K39" s="4">
        <v>2.16106</v>
      </c>
      <c r="L39" s="4">
        <v>1.85</v>
      </c>
      <c r="M39" s="4">
        <v>0</v>
      </c>
      <c r="N39" s="4">
        <v>2.7E-2</v>
      </c>
      <c r="O39" s="4">
        <v>5.1740000000000001E-2</v>
      </c>
      <c r="P39" s="4">
        <v>1.0999999999999999E-2</v>
      </c>
      <c r="Q39" s="4">
        <v>3.5</v>
      </c>
      <c r="R39" t="s">
        <v>73</v>
      </c>
      <c r="T39" s="3">
        <f t="shared" si="13"/>
        <v>1425</v>
      </c>
      <c r="U39" s="3">
        <f t="shared" si="14"/>
        <v>1476</v>
      </c>
      <c r="V39" s="3">
        <f t="shared" si="15"/>
        <v>19359</v>
      </c>
      <c r="W39" s="3">
        <f t="shared" si="16"/>
        <v>648.31799999999998</v>
      </c>
      <c r="X39" s="3">
        <f t="shared" si="17"/>
        <v>555</v>
      </c>
      <c r="Y39" s="3">
        <f t="shared" si="18"/>
        <v>0</v>
      </c>
      <c r="Z39" s="3">
        <f t="shared" si="19"/>
        <v>8.1</v>
      </c>
      <c r="AA39" s="3">
        <f t="shared" si="20"/>
        <v>15.522</v>
      </c>
      <c r="AB39" s="3">
        <f t="shared" si="21"/>
        <v>3.3</v>
      </c>
      <c r="AC39" s="3">
        <f t="shared" si="22"/>
        <v>1050</v>
      </c>
    </row>
    <row r="40" spans="1:29" x14ac:dyDescent="0.3">
      <c r="A40">
        <v>35</v>
      </c>
      <c r="B40" s="5">
        <v>112900</v>
      </c>
      <c r="C40" t="s">
        <v>72</v>
      </c>
      <c r="D40" s="5" t="s">
        <v>49</v>
      </c>
      <c r="E40" s="5" t="s">
        <v>68</v>
      </c>
      <c r="F40" s="5" t="s">
        <v>55</v>
      </c>
      <c r="G40" s="4">
        <v>1200</v>
      </c>
      <c r="H40" s="4">
        <v>4.6900000000000004</v>
      </c>
      <c r="I40" s="4">
        <v>95.31</v>
      </c>
      <c r="J40" s="4">
        <v>61.99</v>
      </c>
      <c r="K40" s="4">
        <v>4.2835099999999997</v>
      </c>
      <c r="L40" s="4">
        <v>2.927</v>
      </c>
      <c r="M40" s="4">
        <v>6.0000000000000001E-3</v>
      </c>
      <c r="N40" s="4">
        <v>5.8000000000000003E-2</v>
      </c>
      <c r="O40" s="4">
        <v>4.752E-2</v>
      </c>
      <c r="P40" s="4">
        <v>3.9E-2</v>
      </c>
      <c r="Q40" s="4">
        <v>3.83</v>
      </c>
      <c r="R40" t="s">
        <v>73</v>
      </c>
      <c r="T40" s="3">
        <f t="shared" si="13"/>
        <v>5628.0000000000009</v>
      </c>
      <c r="U40" s="3">
        <f t="shared" si="14"/>
        <v>114372</v>
      </c>
      <c r="V40" s="3">
        <f t="shared" si="15"/>
        <v>74388</v>
      </c>
      <c r="W40" s="3">
        <f t="shared" si="16"/>
        <v>5140.2119999999995</v>
      </c>
      <c r="X40" s="3">
        <f t="shared" si="17"/>
        <v>3512.4</v>
      </c>
      <c r="Y40" s="3">
        <f t="shared" si="18"/>
        <v>7.2</v>
      </c>
      <c r="Z40" s="3">
        <f t="shared" si="19"/>
        <v>69.600000000000009</v>
      </c>
      <c r="AA40" s="3">
        <f t="shared" si="20"/>
        <v>57.024000000000001</v>
      </c>
      <c r="AB40" s="3">
        <f t="shared" si="21"/>
        <v>46.8</v>
      </c>
      <c r="AC40" s="3">
        <f t="shared" si="22"/>
        <v>4596</v>
      </c>
    </row>
    <row r="41" spans="1:29" x14ac:dyDescent="0.3">
      <c r="A41">
        <v>36</v>
      </c>
      <c r="B41" s="5">
        <v>112903</v>
      </c>
      <c r="C41" t="s">
        <v>74</v>
      </c>
      <c r="D41" s="5" t="s">
        <v>49</v>
      </c>
      <c r="E41" s="5" t="s">
        <v>51</v>
      </c>
      <c r="F41" s="5" t="s">
        <v>52</v>
      </c>
      <c r="G41" s="4">
        <v>300</v>
      </c>
      <c r="H41" s="4">
        <v>4.4800000000000004</v>
      </c>
      <c r="I41" s="4">
        <v>4.84</v>
      </c>
      <c r="J41" s="4">
        <v>65.48</v>
      </c>
      <c r="K41" s="4">
        <v>1.28529</v>
      </c>
      <c r="L41" s="4">
        <v>1.6040000000000001</v>
      </c>
      <c r="M41" s="4">
        <v>0</v>
      </c>
      <c r="N41" s="4">
        <v>2.1000000000000001E-2</v>
      </c>
      <c r="O41" s="4">
        <v>6.1670000000000003E-2</v>
      </c>
      <c r="P41" s="4">
        <v>7.0000000000000001E-3</v>
      </c>
      <c r="Q41" s="4">
        <v>3.23</v>
      </c>
      <c r="R41" t="s">
        <v>47</v>
      </c>
      <c r="T41" s="3">
        <f t="shared" si="13"/>
        <v>1344.0000000000002</v>
      </c>
      <c r="U41" s="3">
        <f t="shared" si="14"/>
        <v>1452</v>
      </c>
      <c r="V41" s="3">
        <f t="shared" si="15"/>
        <v>19644</v>
      </c>
      <c r="W41" s="3">
        <f t="shared" si="16"/>
        <v>385.58699999999999</v>
      </c>
      <c r="X41" s="3">
        <f t="shared" si="17"/>
        <v>481.20000000000005</v>
      </c>
      <c r="Y41" s="3">
        <f t="shared" si="18"/>
        <v>0</v>
      </c>
      <c r="Z41" s="3">
        <f t="shared" si="19"/>
        <v>6.3000000000000007</v>
      </c>
      <c r="AA41" s="3">
        <f t="shared" si="20"/>
        <v>18.501000000000001</v>
      </c>
      <c r="AB41" s="3">
        <f t="shared" si="21"/>
        <v>2.1</v>
      </c>
      <c r="AC41" s="3">
        <f t="shared" si="22"/>
        <v>969</v>
      </c>
    </row>
    <row r="42" spans="1:29" x14ac:dyDescent="0.3">
      <c r="A42">
        <v>37</v>
      </c>
      <c r="B42" s="5">
        <v>112902</v>
      </c>
      <c r="C42" t="s">
        <v>74</v>
      </c>
      <c r="D42" s="5" t="s">
        <v>49</v>
      </c>
      <c r="E42" s="5" t="s">
        <v>51</v>
      </c>
      <c r="F42" s="5" t="s">
        <v>55</v>
      </c>
      <c r="G42" s="4">
        <v>1200</v>
      </c>
      <c r="H42" s="4">
        <v>4.8600000000000003</v>
      </c>
      <c r="I42" s="4">
        <v>95.14</v>
      </c>
      <c r="J42" s="4">
        <v>61.4</v>
      </c>
      <c r="K42" s="4">
        <v>4.1150700000000002</v>
      </c>
      <c r="L42" s="4">
        <v>3.59</v>
      </c>
      <c r="M42" s="4">
        <v>0</v>
      </c>
      <c r="N42" s="4">
        <v>5.8999999999999997E-2</v>
      </c>
      <c r="O42" s="4">
        <v>5.8959999999999999E-2</v>
      </c>
      <c r="P42" s="4">
        <v>1.4E-2</v>
      </c>
      <c r="Q42" s="4">
        <v>4.17</v>
      </c>
      <c r="R42" t="s">
        <v>47</v>
      </c>
      <c r="T42" s="3">
        <f t="shared" si="13"/>
        <v>5832</v>
      </c>
      <c r="U42" s="3">
        <f t="shared" si="14"/>
        <v>114168</v>
      </c>
      <c r="V42" s="3">
        <f t="shared" si="15"/>
        <v>73680</v>
      </c>
      <c r="W42" s="3">
        <f t="shared" si="16"/>
        <v>4938.0839999999998</v>
      </c>
      <c r="X42" s="3">
        <f t="shared" si="17"/>
        <v>4308</v>
      </c>
      <c r="Y42" s="3">
        <f t="shared" si="18"/>
        <v>0</v>
      </c>
      <c r="Z42" s="3">
        <f t="shared" si="19"/>
        <v>70.8</v>
      </c>
      <c r="AA42" s="3">
        <f t="shared" si="20"/>
        <v>70.751999999999995</v>
      </c>
      <c r="AB42" s="3">
        <f t="shared" si="21"/>
        <v>16.8</v>
      </c>
      <c r="AC42" s="3">
        <f t="shared" si="22"/>
        <v>5004</v>
      </c>
    </row>
    <row r="43" spans="1:29" x14ac:dyDescent="0.3">
      <c r="A43">
        <v>38</v>
      </c>
      <c r="B43" s="5">
        <v>112906</v>
      </c>
      <c r="C43" t="s">
        <v>75</v>
      </c>
      <c r="D43" s="5" t="s">
        <v>49</v>
      </c>
      <c r="E43" s="5" t="s">
        <v>54</v>
      </c>
      <c r="F43" s="5" t="s">
        <v>52</v>
      </c>
      <c r="G43" s="4">
        <v>200</v>
      </c>
      <c r="H43" s="4">
        <v>4.38</v>
      </c>
      <c r="I43" s="4">
        <v>4.75</v>
      </c>
      <c r="J43" s="4">
        <v>62.37</v>
      </c>
      <c r="K43" s="4">
        <v>3.16282</v>
      </c>
      <c r="L43" s="4">
        <v>2.9329999999999998</v>
      </c>
      <c r="M43" s="4">
        <v>0</v>
      </c>
      <c r="N43" s="4">
        <v>4.7E-2</v>
      </c>
      <c r="O43" s="4">
        <v>6.4130000000000006E-2</v>
      </c>
      <c r="P43" s="4">
        <v>1.2999999999999999E-2</v>
      </c>
      <c r="Q43" s="4">
        <v>4.41</v>
      </c>
      <c r="R43" t="s">
        <v>47</v>
      </c>
      <c r="T43" s="3">
        <f t="shared" si="13"/>
        <v>876</v>
      </c>
      <c r="U43" s="3">
        <f t="shared" si="14"/>
        <v>950</v>
      </c>
      <c r="V43" s="3">
        <f t="shared" si="15"/>
        <v>12474</v>
      </c>
      <c r="W43" s="3">
        <f t="shared" si="16"/>
        <v>632.56399999999996</v>
      </c>
      <c r="X43" s="3">
        <f t="shared" si="17"/>
        <v>586.59999999999991</v>
      </c>
      <c r="Y43" s="3">
        <f t="shared" si="18"/>
        <v>0</v>
      </c>
      <c r="Z43" s="3">
        <f t="shared" si="19"/>
        <v>9.4</v>
      </c>
      <c r="AA43" s="3">
        <f t="shared" si="20"/>
        <v>12.826000000000001</v>
      </c>
      <c r="AB43" s="3">
        <f t="shared" si="21"/>
        <v>2.6</v>
      </c>
      <c r="AC43" s="3">
        <f t="shared" si="22"/>
        <v>882</v>
      </c>
    </row>
    <row r="44" spans="1:29" x14ac:dyDescent="0.3">
      <c r="A44">
        <v>39</v>
      </c>
      <c r="B44" s="5">
        <v>112905</v>
      </c>
      <c r="C44" t="s">
        <v>75</v>
      </c>
      <c r="D44" s="5" t="s">
        <v>49</v>
      </c>
      <c r="E44" s="5" t="s">
        <v>54</v>
      </c>
      <c r="F44" s="5" t="s">
        <v>55</v>
      </c>
      <c r="G44" s="4">
        <v>800</v>
      </c>
      <c r="H44" s="4">
        <v>4.71</v>
      </c>
      <c r="I44" s="4">
        <v>95.29</v>
      </c>
      <c r="J44" s="4">
        <v>62.71</v>
      </c>
      <c r="K44" s="4">
        <v>3.52691</v>
      </c>
      <c r="L44" s="4">
        <v>2.8889999999999998</v>
      </c>
      <c r="M44" s="4">
        <v>0</v>
      </c>
      <c r="N44" s="4">
        <v>0.06</v>
      </c>
      <c r="O44" s="4">
        <v>5.4059999999999997E-2</v>
      </c>
      <c r="P44" s="4">
        <v>1.9E-2</v>
      </c>
      <c r="Q44" s="4">
        <v>3.6</v>
      </c>
      <c r="R44" t="s">
        <v>47</v>
      </c>
      <c r="T44" s="3">
        <f t="shared" si="13"/>
        <v>3768</v>
      </c>
      <c r="U44" s="3">
        <f t="shared" si="14"/>
        <v>76232</v>
      </c>
      <c r="V44" s="3">
        <f t="shared" si="15"/>
        <v>50168</v>
      </c>
      <c r="W44" s="3">
        <f t="shared" si="16"/>
        <v>2821.5279999999998</v>
      </c>
      <c r="X44" s="3">
        <f t="shared" si="17"/>
        <v>2311.1999999999998</v>
      </c>
      <c r="Y44" s="3">
        <f t="shared" si="18"/>
        <v>0</v>
      </c>
      <c r="Z44" s="3">
        <f t="shared" si="19"/>
        <v>48</v>
      </c>
      <c r="AA44" s="3">
        <f t="shared" si="20"/>
        <v>43.247999999999998</v>
      </c>
      <c r="AB44" s="3">
        <f t="shared" si="21"/>
        <v>15.2</v>
      </c>
      <c r="AC44" s="3">
        <f t="shared" si="22"/>
        <v>2880</v>
      </c>
    </row>
    <row r="45" spans="1:29" x14ac:dyDescent="0.3">
      <c r="A45">
        <v>40</v>
      </c>
      <c r="B45" s="5">
        <v>112910</v>
      </c>
      <c r="C45" t="s">
        <v>76</v>
      </c>
      <c r="D45" s="5" t="s">
        <v>49</v>
      </c>
      <c r="E45" s="5" t="s">
        <v>54</v>
      </c>
      <c r="F45" s="5" t="s">
        <v>52</v>
      </c>
      <c r="G45" s="4">
        <v>400</v>
      </c>
      <c r="H45" s="4">
        <v>4.32</v>
      </c>
      <c r="I45" s="4">
        <v>4.59</v>
      </c>
      <c r="J45" s="4">
        <v>63.37</v>
      </c>
      <c r="K45" s="4">
        <v>2.91736</v>
      </c>
      <c r="L45" s="4">
        <v>2.363</v>
      </c>
      <c r="M45" s="4">
        <v>0</v>
      </c>
      <c r="N45" s="4">
        <v>3.4000000000000002E-2</v>
      </c>
      <c r="O45" s="4">
        <v>5.1319999999999998E-2</v>
      </c>
      <c r="P45" s="4">
        <v>1.7000000000000001E-2</v>
      </c>
      <c r="Q45" s="4">
        <v>3.86</v>
      </c>
      <c r="R45" t="s">
        <v>47</v>
      </c>
      <c r="T45" s="3">
        <f t="shared" si="13"/>
        <v>1728</v>
      </c>
      <c r="U45" s="3">
        <f t="shared" si="14"/>
        <v>1836</v>
      </c>
      <c r="V45" s="3">
        <f t="shared" si="15"/>
        <v>25348</v>
      </c>
      <c r="W45" s="3">
        <f t="shared" si="16"/>
        <v>1166.944</v>
      </c>
      <c r="X45" s="3">
        <f t="shared" si="17"/>
        <v>945.2</v>
      </c>
      <c r="Y45" s="3">
        <f t="shared" si="18"/>
        <v>0</v>
      </c>
      <c r="Z45" s="3">
        <f t="shared" si="19"/>
        <v>13.600000000000001</v>
      </c>
      <c r="AA45" s="3">
        <f t="shared" si="20"/>
        <v>20.527999999999999</v>
      </c>
      <c r="AB45" s="3">
        <f t="shared" si="21"/>
        <v>6.8000000000000007</v>
      </c>
      <c r="AC45" s="3">
        <f t="shared" si="22"/>
        <v>1544</v>
      </c>
    </row>
    <row r="46" spans="1:29" x14ac:dyDescent="0.3">
      <c r="A46">
        <v>41</v>
      </c>
      <c r="B46" s="5">
        <v>112909</v>
      </c>
      <c r="C46" t="s">
        <v>76</v>
      </c>
      <c r="D46" s="5" t="s">
        <v>49</v>
      </c>
      <c r="E46" s="5" t="s">
        <v>77</v>
      </c>
      <c r="F46" s="5" t="s">
        <v>55</v>
      </c>
      <c r="G46" s="4">
        <v>600</v>
      </c>
      <c r="H46" s="4">
        <v>4.8499999999999996</v>
      </c>
      <c r="I46" s="4">
        <v>95.15</v>
      </c>
      <c r="J46" s="4">
        <v>60.19</v>
      </c>
      <c r="K46" s="4">
        <v>3.8865400000000001</v>
      </c>
      <c r="L46" s="4">
        <v>3.5390000000000001</v>
      </c>
      <c r="M46" s="4">
        <v>1.2999999999999999E-2</v>
      </c>
      <c r="N46" s="4">
        <v>6.3E-2</v>
      </c>
      <c r="O46" s="4">
        <v>6.608E-2</v>
      </c>
      <c r="P46" s="4">
        <v>1.9E-2</v>
      </c>
      <c r="Q46" s="4">
        <v>6.13</v>
      </c>
      <c r="R46" t="s">
        <v>47</v>
      </c>
      <c r="T46" s="3">
        <f t="shared" si="13"/>
        <v>2910</v>
      </c>
      <c r="U46" s="3">
        <f t="shared" si="14"/>
        <v>57090</v>
      </c>
      <c r="V46" s="3">
        <f t="shared" si="15"/>
        <v>36114</v>
      </c>
      <c r="W46" s="3">
        <f t="shared" si="16"/>
        <v>2331.924</v>
      </c>
      <c r="X46" s="3">
        <f t="shared" si="17"/>
        <v>2123.4</v>
      </c>
      <c r="Y46" s="3">
        <f t="shared" si="18"/>
        <v>7.8</v>
      </c>
      <c r="Z46" s="3">
        <f t="shared" si="19"/>
        <v>37.799999999999997</v>
      </c>
      <c r="AA46" s="3">
        <f t="shared" si="20"/>
        <v>39.648000000000003</v>
      </c>
      <c r="AB46" s="3">
        <f t="shared" si="21"/>
        <v>11.4</v>
      </c>
      <c r="AC46" s="3">
        <f t="shared" si="22"/>
        <v>3678</v>
      </c>
    </row>
    <row r="47" spans="1:29" x14ac:dyDescent="0.3">
      <c r="A47">
        <v>42</v>
      </c>
      <c r="B47" s="5">
        <v>112908</v>
      </c>
      <c r="C47" t="s">
        <v>76</v>
      </c>
      <c r="D47" s="5" t="s">
        <v>49</v>
      </c>
      <c r="E47" s="5" t="s">
        <v>78</v>
      </c>
      <c r="F47" s="5" t="s">
        <v>55</v>
      </c>
      <c r="G47" s="4">
        <v>1000</v>
      </c>
      <c r="H47" s="4">
        <v>4.74</v>
      </c>
      <c r="I47" s="4">
        <v>95.26</v>
      </c>
      <c r="J47" s="4">
        <v>62.04</v>
      </c>
      <c r="K47" s="4">
        <v>3.81298</v>
      </c>
      <c r="L47" s="4">
        <v>3.141</v>
      </c>
      <c r="M47" s="4">
        <v>0</v>
      </c>
      <c r="N47" s="4">
        <v>0.06</v>
      </c>
      <c r="O47" s="4">
        <v>5.7459999999999997E-2</v>
      </c>
      <c r="P47" s="4">
        <v>2.5999999999999999E-2</v>
      </c>
      <c r="Q47" s="4">
        <v>4.04</v>
      </c>
      <c r="R47" t="s">
        <v>47</v>
      </c>
      <c r="T47" s="3">
        <f t="shared" si="13"/>
        <v>4740</v>
      </c>
      <c r="U47" s="3">
        <f t="shared" si="14"/>
        <v>95260</v>
      </c>
      <c r="V47" s="3">
        <f t="shared" si="15"/>
        <v>62040</v>
      </c>
      <c r="W47" s="3">
        <f t="shared" si="16"/>
        <v>3812.98</v>
      </c>
      <c r="X47" s="3">
        <f t="shared" si="17"/>
        <v>3141</v>
      </c>
      <c r="Y47" s="3">
        <f t="shared" si="18"/>
        <v>0</v>
      </c>
      <c r="Z47" s="3">
        <f t="shared" si="19"/>
        <v>60</v>
      </c>
      <c r="AA47" s="3">
        <f t="shared" si="20"/>
        <v>57.459999999999994</v>
      </c>
      <c r="AB47" s="3">
        <f t="shared" si="21"/>
        <v>26</v>
      </c>
      <c r="AC47" s="3">
        <f t="shared" si="22"/>
        <v>4040</v>
      </c>
    </row>
    <row r="48" spans="1:29" x14ac:dyDescent="0.3">
      <c r="A48">
        <v>43</v>
      </c>
      <c r="B48" s="5">
        <v>112914</v>
      </c>
      <c r="C48" t="s">
        <v>79</v>
      </c>
      <c r="D48" s="5" t="s">
        <v>49</v>
      </c>
      <c r="E48" s="5" t="s">
        <v>68</v>
      </c>
      <c r="F48" s="5" t="s">
        <v>52</v>
      </c>
      <c r="G48" s="4">
        <v>300</v>
      </c>
      <c r="H48" s="4">
        <v>4.62</v>
      </c>
      <c r="I48" s="4">
        <v>4.8600000000000003</v>
      </c>
      <c r="J48" s="4">
        <v>64.27</v>
      </c>
      <c r="K48" s="4">
        <v>2.3516300000000001</v>
      </c>
      <c r="L48" s="4">
        <v>2.3540000000000001</v>
      </c>
      <c r="M48" s="4">
        <v>0</v>
      </c>
      <c r="N48" s="4">
        <v>2.4E-2</v>
      </c>
      <c r="O48" s="4">
        <v>4.4209999999999999E-2</v>
      </c>
      <c r="P48" s="4">
        <v>3.2000000000000001E-2</v>
      </c>
      <c r="Q48" s="4">
        <v>3.18</v>
      </c>
      <c r="R48" t="s">
        <v>80</v>
      </c>
      <c r="T48" s="3">
        <f t="shared" si="13"/>
        <v>1386</v>
      </c>
      <c r="U48" s="3">
        <f t="shared" si="14"/>
        <v>1458</v>
      </c>
      <c r="V48" s="3">
        <f t="shared" si="15"/>
        <v>19281</v>
      </c>
      <c r="W48" s="3">
        <f t="shared" si="16"/>
        <v>705.48900000000003</v>
      </c>
      <c r="X48" s="3">
        <f t="shared" si="17"/>
        <v>706.2</v>
      </c>
      <c r="Y48" s="3">
        <f t="shared" si="18"/>
        <v>0</v>
      </c>
      <c r="Z48" s="3">
        <f t="shared" si="19"/>
        <v>7.2</v>
      </c>
      <c r="AA48" s="3">
        <f t="shared" si="20"/>
        <v>13.263</v>
      </c>
      <c r="AB48" s="3">
        <f t="shared" si="21"/>
        <v>9.6</v>
      </c>
      <c r="AC48" s="3">
        <f t="shared" si="22"/>
        <v>954</v>
      </c>
    </row>
    <row r="49" spans="1:29" x14ac:dyDescent="0.3">
      <c r="A49">
        <v>44</v>
      </c>
      <c r="B49" s="5">
        <v>112913</v>
      </c>
      <c r="C49" t="s">
        <v>79</v>
      </c>
      <c r="D49" s="5" t="s">
        <v>49</v>
      </c>
      <c r="E49" s="5" t="s">
        <v>78</v>
      </c>
      <c r="F49" s="5" t="s">
        <v>55</v>
      </c>
      <c r="G49" s="4">
        <v>1200</v>
      </c>
      <c r="H49" s="4">
        <v>4.76</v>
      </c>
      <c r="I49" s="4">
        <v>95.24</v>
      </c>
      <c r="J49" s="4">
        <v>61.98</v>
      </c>
      <c r="K49" s="4">
        <v>3.6494900000000001</v>
      </c>
      <c r="L49" s="4">
        <v>3.1960000000000002</v>
      </c>
      <c r="M49" s="4">
        <v>0</v>
      </c>
      <c r="N49" s="4">
        <v>5.3999999999999999E-2</v>
      </c>
      <c r="O49" s="4">
        <v>5.1929999999999997E-2</v>
      </c>
      <c r="P49" s="4">
        <v>3.2000000000000001E-2</v>
      </c>
      <c r="Q49" s="4">
        <v>4.26</v>
      </c>
      <c r="R49" t="s">
        <v>80</v>
      </c>
      <c r="T49" s="3">
        <f t="shared" si="13"/>
        <v>5712</v>
      </c>
      <c r="U49" s="3">
        <f t="shared" si="14"/>
        <v>114288</v>
      </c>
      <c r="V49" s="3">
        <f t="shared" si="15"/>
        <v>74376</v>
      </c>
      <c r="W49" s="3">
        <f t="shared" si="16"/>
        <v>4379.3879999999999</v>
      </c>
      <c r="X49" s="3">
        <f t="shared" si="17"/>
        <v>3835.2000000000003</v>
      </c>
      <c r="Y49" s="3">
        <f t="shared" si="18"/>
        <v>0</v>
      </c>
      <c r="Z49" s="3">
        <f t="shared" si="19"/>
        <v>64.8</v>
      </c>
      <c r="AA49" s="3">
        <f t="shared" si="20"/>
        <v>62.315999999999995</v>
      </c>
      <c r="AB49" s="3">
        <f t="shared" si="21"/>
        <v>38.4</v>
      </c>
      <c r="AC49" s="3">
        <f t="shared" si="22"/>
        <v>5112</v>
      </c>
    </row>
    <row r="50" spans="1:29" x14ac:dyDescent="0.3">
      <c r="A50">
        <v>45</v>
      </c>
      <c r="B50" s="5">
        <v>112916</v>
      </c>
      <c r="C50" t="s">
        <v>81</v>
      </c>
      <c r="D50" s="5" t="s">
        <v>49</v>
      </c>
      <c r="E50" s="5" t="s">
        <v>78</v>
      </c>
      <c r="F50" s="5" t="s">
        <v>52</v>
      </c>
      <c r="G50" s="4">
        <v>200</v>
      </c>
      <c r="H50" s="4">
        <v>4.75</v>
      </c>
      <c r="I50" s="4">
        <v>4.8600000000000003</v>
      </c>
      <c r="J50" s="4">
        <v>64.900000000000006</v>
      </c>
      <c r="K50" s="4">
        <v>2.1229900000000002</v>
      </c>
      <c r="L50" s="4">
        <v>1.837</v>
      </c>
      <c r="M50" s="4">
        <v>2.3E-2</v>
      </c>
      <c r="N50" s="4">
        <v>2.8000000000000001E-2</v>
      </c>
      <c r="O50" s="4">
        <v>4.6530000000000002E-2</v>
      </c>
      <c r="P50" s="4">
        <v>0</v>
      </c>
      <c r="Q50" s="4">
        <v>3.02</v>
      </c>
      <c r="R50" t="s">
        <v>82</v>
      </c>
      <c r="T50" s="3">
        <f t="shared" si="13"/>
        <v>950</v>
      </c>
      <c r="U50" s="3">
        <f t="shared" si="14"/>
        <v>972.00000000000011</v>
      </c>
      <c r="V50" s="3">
        <f t="shared" si="15"/>
        <v>12980.000000000002</v>
      </c>
      <c r="W50" s="3">
        <f t="shared" si="16"/>
        <v>424.59800000000001</v>
      </c>
      <c r="X50" s="3">
        <f t="shared" si="17"/>
        <v>367.4</v>
      </c>
      <c r="Y50" s="3">
        <f t="shared" si="18"/>
        <v>4.5999999999999996</v>
      </c>
      <c r="Z50" s="3">
        <f t="shared" si="19"/>
        <v>5.6000000000000005</v>
      </c>
      <c r="AA50" s="3">
        <f t="shared" si="20"/>
        <v>9.3060000000000009</v>
      </c>
      <c r="AB50" s="3">
        <f t="shared" si="21"/>
        <v>0</v>
      </c>
      <c r="AC50" s="3">
        <f t="shared" si="22"/>
        <v>604</v>
      </c>
    </row>
    <row r="51" spans="1:29" x14ac:dyDescent="0.3">
      <c r="A51">
        <v>46</v>
      </c>
      <c r="B51" s="5">
        <v>112915</v>
      </c>
      <c r="C51" t="s">
        <v>81</v>
      </c>
      <c r="D51" s="5" t="s">
        <v>49</v>
      </c>
      <c r="E51" s="5" t="s">
        <v>68</v>
      </c>
      <c r="F51" s="5" t="s">
        <v>55</v>
      </c>
      <c r="G51" s="4">
        <v>800</v>
      </c>
      <c r="H51" s="4">
        <v>4.6900000000000004</v>
      </c>
      <c r="I51" s="4">
        <v>95.31</v>
      </c>
      <c r="J51" s="4">
        <v>62.3</v>
      </c>
      <c r="K51" s="4">
        <v>3.4741599999999999</v>
      </c>
      <c r="L51" s="4">
        <v>3.2029999999999998</v>
      </c>
      <c r="M51" s="4">
        <v>2E-3</v>
      </c>
      <c r="N51" s="4">
        <v>0.06</v>
      </c>
      <c r="O51" s="4">
        <v>4.9930000000000002E-2</v>
      </c>
      <c r="P51" s="4">
        <v>1.4E-2</v>
      </c>
      <c r="Q51" s="4">
        <v>3.99</v>
      </c>
      <c r="R51" t="s">
        <v>82</v>
      </c>
      <c r="T51" s="3">
        <f t="shared" si="13"/>
        <v>3752.0000000000005</v>
      </c>
      <c r="U51" s="3">
        <f t="shared" si="14"/>
        <v>76248</v>
      </c>
      <c r="V51" s="3">
        <f t="shared" si="15"/>
        <v>49840</v>
      </c>
      <c r="W51" s="3">
        <f t="shared" si="16"/>
        <v>2779.328</v>
      </c>
      <c r="X51" s="3">
        <f t="shared" si="17"/>
        <v>2562.4</v>
      </c>
      <c r="Y51" s="3">
        <f t="shared" si="18"/>
        <v>1.6</v>
      </c>
      <c r="Z51" s="3">
        <f t="shared" si="19"/>
        <v>48</v>
      </c>
      <c r="AA51" s="3">
        <f t="shared" si="20"/>
        <v>39.944000000000003</v>
      </c>
      <c r="AB51" s="3">
        <f t="shared" si="21"/>
        <v>11.200000000000001</v>
      </c>
      <c r="AC51" s="3">
        <f t="shared" si="22"/>
        <v>3192</v>
      </c>
    </row>
    <row r="52" spans="1:29" x14ac:dyDescent="0.3">
      <c r="A52">
        <v>47</v>
      </c>
      <c r="B52" s="5">
        <v>110440</v>
      </c>
      <c r="C52" t="s">
        <v>83</v>
      </c>
      <c r="D52" s="5" t="s">
        <v>49</v>
      </c>
      <c r="E52" s="5" t="s">
        <v>54</v>
      </c>
      <c r="F52" s="5" t="s">
        <v>52</v>
      </c>
      <c r="G52" s="4">
        <v>500</v>
      </c>
      <c r="H52" s="4">
        <v>4.3899999999999997</v>
      </c>
      <c r="I52" s="4">
        <v>4.8499999999999996</v>
      </c>
      <c r="J52" s="4">
        <v>63.84</v>
      </c>
      <c r="K52" s="4">
        <v>2.0823</v>
      </c>
      <c r="L52" s="4">
        <v>2.1589999999999998</v>
      </c>
      <c r="M52" s="4">
        <v>0</v>
      </c>
      <c r="N52" s="4">
        <v>3.1E-2</v>
      </c>
      <c r="O52" s="4">
        <v>6.3670000000000004E-2</v>
      </c>
      <c r="P52" s="4">
        <v>2E-3</v>
      </c>
      <c r="Q52" s="4">
        <v>4.24</v>
      </c>
      <c r="R52" t="s">
        <v>47</v>
      </c>
      <c r="T52" s="3">
        <f t="shared" si="13"/>
        <v>2195</v>
      </c>
      <c r="U52" s="3">
        <f t="shared" si="14"/>
        <v>2425</v>
      </c>
      <c r="V52" s="3">
        <f t="shared" si="15"/>
        <v>31920</v>
      </c>
      <c r="W52" s="3">
        <f t="shared" si="16"/>
        <v>1041.1500000000001</v>
      </c>
      <c r="X52" s="3">
        <f t="shared" si="17"/>
        <v>1079.5</v>
      </c>
      <c r="Y52" s="3">
        <f t="shared" si="18"/>
        <v>0</v>
      </c>
      <c r="Z52" s="3">
        <f t="shared" si="19"/>
        <v>15.5</v>
      </c>
      <c r="AA52" s="3">
        <f t="shared" si="20"/>
        <v>31.835000000000001</v>
      </c>
      <c r="AB52" s="3">
        <f t="shared" si="21"/>
        <v>1</v>
      </c>
      <c r="AC52" s="3">
        <f t="shared" si="22"/>
        <v>2120</v>
      </c>
    </row>
    <row r="53" spans="1:29" x14ac:dyDescent="0.3">
      <c r="A53">
        <v>48</v>
      </c>
      <c r="B53" s="5">
        <v>110438</v>
      </c>
      <c r="C53" t="s">
        <v>83</v>
      </c>
      <c r="D53" s="5" t="s">
        <v>49</v>
      </c>
      <c r="E53" s="5" t="s">
        <v>54</v>
      </c>
      <c r="F53" s="5" t="s">
        <v>55</v>
      </c>
      <c r="G53" s="4">
        <v>1000</v>
      </c>
      <c r="H53" s="4">
        <v>4.75</v>
      </c>
      <c r="I53" s="4">
        <v>95.25</v>
      </c>
      <c r="J53" s="4">
        <v>60.76</v>
      </c>
      <c r="K53" s="4">
        <v>4.0517300000000001</v>
      </c>
      <c r="L53" s="4">
        <v>3.625</v>
      </c>
      <c r="M53" s="4">
        <v>0</v>
      </c>
      <c r="N53" s="4">
        <v>7.2999999999999995E-2</v>
      </c>
      <c r="O53" s="4">
        <v>5.7250000000000002E-2</v>
      </c>
      <c r="P53" s="4">
        <v>5.0000000000000001E-3</v>
      </c>
      <c r="Q53" s="4">
        <v>5.15</v>
      </c>
      <c r="R53" t="s">
        <v>47</v>
      </c>
      <c r="T53" s="3">
        <f t="shared" si="13"/>
        <v>4750</v>
      </c>
      <c r="U53" s="3">
        <f t="shared" si="14"/>
        <v>95250</v>
      </c>
      <c r="V53" s="3">
        <f t="shared" si="15"/>
        <v>60760</v>
      </c>
      <c r="W53" s="3">
        <f t="shared" si="16"/>
        <v>4051.73</v>
      </c>
      <c r="X53" s="3">
        <f t="shared" si="17"/>
        <v>3625</v>
      </c>
      <c r="Y53" s="3">
        <f t="shared" si="18"/>
        <v>0</v>
      </c>
      <c r="Z53" s="3">
        <f t="shared" si="19"/>
        <v>73</v>
      </c>
      <c r="AA53" s="3">
        <f t="shared" si="20"/>
        <v>57.25</v>
      </c>
      <c r="AB53" s="3">
        <f t="shared" si="21"/>
        <v>5</v>
      </c>
      <c r="AC53" s="3">
        <f t="shared" si="22"/>
        <v>5150</v>
      </c>
    </row>
    <row r="54" spans="1:29" x14ac:dyDescent="0.3">
      <c r="A54">
        <v>49</v>
      </c>
      <c r="B54" s="5">
        <v>110428</v>
      </c>
      <c r="C54" t="s">
        <v>83</v>
      </c>
      <c r="D54" s="5" t="s">
        <v>84</v>
      </c>
      <c r="E54" s="5" t="s">
        <v>54</v>
      </c>
      <c r="F54" s="5" t="s">
        <v>55</v>
      </c>
      <c r="G54" s="4">
        <v>1000</v>
      </c>
      <c r="H54" s="4">
        <v>4.66</v>
      </c>
      <c r="I54" s="4">
        <v>95.34</v>
      </c>
      <c r="J54" s="4">
        <v>60.71</v>
      </c>
      <c r="K54" s="4">
        <v>4.0443199999999999</v>
      </c>
      <c r="L54" s="4">
        <v>3.66</v>
      </c>
      <c r="M54" s="4">
        <v>0</v>
      </c>
      <c r="N54" s="4">
        <v>7.1999999999999995E-2</v>
      </c>
      <c r="O54" s="4">
        <v>5.6169999999999998E-2</v>
      </c>
      <c r="P54" s="4">
        <v>6.0000000000000001E-3</v>
      </c>
      <c r="Q54" s="4">
        <v>5.18</v>
      </c>
      <c r="R54" t="s">
        <v>47</v>
      </c>
      <c r="T54" s="3">
        <f t="shared" si="13"/>
        <v>4660</v>
      </c>
      <c r="U54" s="3">
        <f t="shared" si="14"/>
        <v>95340</v>
      </c>
      <c r="V54" s="3">
        <f t="shared" si="15"/>
        <v>60710</v>
      </c>
      <c r="W54" s="3">
        <f t="shared" si="16"/>
        <v>4044.3199999999997</v>
      </c>
      <c r="X54" s="3">
        <f t="shared" si="17"/>
        <v>3660</v>
      </c>
      <c r="Y54" s="3">
        <f t="shared" si="18"/>
        <v>0</v>
      </c>
      <c r="Z54" s="3">
        <f t="shared" si="19"/>
        <v>72</v>
      </c>
      <c r="AA54" s="3">
        <f t="shared" si="20"/>
        <v>56.169999999999995</v>
      </c>
      <c r="AB54" s="3">
        <f t="shared" si="21"/>
        <v>6</v>
      </c>
      <c r="AC54" s="3">
        <f t="shared" si="22"/>
        <v>5180</v>
      </c>
    </row>
    <row r="55" spans="1:29" x14ac:dyDescent="0.3">
      <c r="A55">
        <v>50</v>
      </c>
      <c r="B55" s="5">
        <v>110430</v>
      </c>
      <c r="C55" t="s">
        <v>85</v>
      </c>
      <c r="D55" s="5" t="s">
        <v>49</v>
      </c>
      <c r="E55" s="5" t="s">
        <v>51</v>
      </c>
      <c r="F55" s="5" t="s">
        <v>52</v>
      </c>
      <c r="G55" s="4">
        <v>300</v>
      </c>
      <c r="H55" s="4">
        <v>4.26</v>
      </c>
      <c r="I55" s="4">
        <v>4.7300000000000004</v>
      </c>
      <c r="J55" s="4">
        <v>64.430000000000007</v>
      </c>
      <c r="K55" s="4">
        <v>1.7986500000000001</v>
      </c>
      <c r="L55" s="4">
        <v>1.2669999999999999</v>
      </c>
      <c r="M55" s="4">
        <v>0</v>
      </c>
      <c r="N55" s="4">
        <v>2.7E-2</v>
      </c>
      <c r="O55" s="4">
        <v>5.9580000000000001E-2</v>
      </c>
      <c r="P55" s="4">
        <v>2E-3</v>
      </c>
      <c r="Q55" s="4">
        <v>4.54</v>
      </c>
      <c r="R55" t="s">
        <v>47</v>
      </c>
      <c r="T55" s="3">
        <f t="shared" si="13"/>
        <v>1278</v>
      </c>
      <c r="U55" s="3">
        <f t="shared" si="14"/>
        <v>1419.0000000000002</v>
      </c>
      <c r="V55" s="3">
        <f t="shared" si="15"/>
        <v>19329.000000000004</v>
      </c>
      <c r="W55" s="3">
        <f t="shared" si="16"/>
        <v>539.59500000000003</v>
      </c>
      <c r="X55" s="3">
        <f t="shared" si="17"/>
        <v>380.09999999999997</v>
      </c>
      <c r="Y55" s="3">
        <f t="shared" si="18"/>
        <v>0</v>
      </c>
      <c r="Z55" s="3">
        <f t="shared" si="19"/>
        <v>8.1</v>
      </c>
      <c r="AA55" s="3">
        <f t="shared" si="20"/>
        <v>17.873999999999999</v>
      </c>
      <c r="AB55" s="3">
        <f t="shared" si="21"/>
        <v>0.6</v>
      </c>
      <c r="AC55" s="3">
        <f t="shared" si="22"/>
        <v>1362</v>
      </c>
    </row>
    <row r="56" spans="1:29" x14ac:dyDescent="0.3">
      <c r="A56">
        <v>51</v>
      </c>
      <c r="B56" s="5">
        <v>110425</v>
      </c>
      <c r="C56" t="s">
        <v>85</v>
      </c>
      <c r="D56" s="5" t="s">
        <v>49</v>
      </c>
      <c r="E56" s="5" t="s">
        <v>54</v>
      </c>
      <c r="F56" s="5" t="s">
        <v>55</v>
      </c>
      <c r="G56" s="4">
        <v>1200</v>
      </c>
      <c r="H56" s="4">
        <v>4.83</v>
      </c>
      <c r="I56" s="4">
        <v>95.17</v>
      </c>
      <c r="J56" s="4">
        <v>62.3</v>
      </c>
      <c r="K56" s="4">
        <v>3.5147499999999998</v>
      </c>
      <c r="L56" s="4">
        <v>2.37</v>
      </c>
      <c r="M56" s="4">
        <v>0</v>
      </c>
      <c r="N56" s="4">
        <v>5.8999999999999997E-2</v>
      </c>
      <c r="O56" s="4">
        <v>5.7700000000000001E-2</v>
      </c>
      <c r="P56" s="4">
        <v>4.0000000000000001E-3</v>
      </c>
      <c r="Q56" s="4">
        <v>4.72</v>
      </c>
      <c r="R56" t="s">
        <v>47</v>
      </c>
      <c r="T56" s="3">
        <f t="shared" si="13"/>
        <v>5796</v>
      </c>
      <c r="U56" s="3">
        <f t="shared" si="14"/>
        <v>114204</v>
      </c>
      <c r="V56" s="3">
        <f t="shared" si="15"/>
        <v>74760</v>
      </c>
      <c r="W56" s="3">
        <f t="shared" si="16"/>
        <v>4217.7</v>
      </c>
      <c r="X56" s="3">
        <f t="shared" si="17"/>
        <v>2844</v>
      </c>
      <c r="Y56" s="3">
        <f t="shared" si="18"/>
        <v>0</v>
      </c>
      <c r="Z56" s="3">
        <f t="shared" si="19"/>
        <v>70.8</v>
      </c>
      <c r="AA56" s="3">
        <f t="shared" si="20"/>
        <v>69.239999999999995</v>
      </c>
      <c r="AB56" s="3">
        <f t="shared" si="21"/>
        <v>4.8</v>
      </c>
      <c r="AC56" s="3">
        <f t="shared" si="22"/>
        <v>5664</v>
      </c>
    </row>
    <row r="57" spans="1:29" x14ac:dyDescent="0.3">
      <c r="A57">
        <v>52</v>
      </c>
      <c r="B57" s="5">
        <v>106637</v>
      </c>
      <c r="C57" t="s">
        <v>86</v>
      </c>
      <c r="D57" s="5" t="s">
        <v>49</v>
      </c>
      <c r="E57" s="5" t="s">
        <v>54</v>
      </c>
      <c r="F57" s="5" t="s">
        <v>52</v>
      </c>
      <c r="G57" s="4">
        <v>340</v>
      </c>
      <c r="H57" s="4">
        <v>4.46</v>
      </c>
      <c r="I57" s="4">
        <v>4.83</v>
      </c>
      <c r="J57" s="4">
        <v>63.08</v>
      </c>
      <c r="K57" s="4">
        <v>1.4927299999999999</v>
      </c>
      <c r="L57" s="4">
        <v>1.907</v>
      </c>
      <c r="M57" s="4">
        <v>0</v>
      </c>
      <c r="N57" s="4">
        <v>2.3E-2</v>
      </c>
      <c r="O57" s="4">
        <v>5.8979999999999998E-2</v>
      </c>
      <c r="P57" s="4">
        <v>8.0000000000000002E-3</v>
      </c>
      <c r="Q57" s="4">
        <v>6.2</v>
      </c>
      <c r="R57" t="s">
        <v>47</v>
      </c>
      <c r="T57" s="3">
        <f t="shared" si="13"/>
        <v>1516.4</v>
      </c>
      <c r="U57" s="3">
        <f t="shared" si="14"/>
        <v>1642.2</v>
      </c>
      <c r="V57" s="3">
        <f t="shared" si="15"/>
        <v>21447.200000000001</v>
      </c>
      <c r="W57" s="3">
        <f t="shared" si="16"/>
        <v>507.52819999999997</v>
      </c>
      <c r="X57" s="3">
        <f t="shared" si="17"/>
        <v>648.38</v>
      </c>
      <c r="Y57" s="3">
        <f t="shared" si="18"/>
        <v>0</v>
      </c>
      <c r="Z57" s="3">
        <f t="shared" si="19"/>
        <v>7.82</v>
      </c>
      <c r="AA57" s="3">
        <f t="shared" si="20"/>
        <v>20.0532</v>
      </c>
      <c r="AB57" s="3">
        <f t="shared" si="21"/>
        <v>2.72</v>
      </c>
      <c r="AC57" s="3">
        <f t="shared" si="22"/>
        <v>2108</v>
      </c>
    </row>
    <row r="58" spans="1:29" x14ac:dyDescent="0.3">
      <c r="A58">
        <v>53</v>
      </c>
      <c r="B58" s="5">
        <v>106636</v>
      </c>
      <c r="C58" t="s">
        <v>86</v>
      </c>
      <c r="D58" s="5" t="s">
        <v>49</v>
      </c>
      <c r="E58" s="5" t="s">
        <v>54</v>
      </c>
      <c r="F58" s="5" t="s">
        <v>55</v>
      </c>
      <c r="G58" s="4">
        <v>1360</v>
      </c>
      <c r="H58" s="4">
        <v>4.72</v>
      </c>
      <c r="I58" s="4">
        <v>95.28</v>
      </c>
      <c r="J58" s="4">
        <v>61.93</v>
      </c>
      <c r="K58" s="4">
        <v>2.8983400000000001</v>
      </c>
      <c r="L58" s="4">
        <v>2.605</v>
      </c>
      <c r="M58" s="4">
        <v>0</v>
      </c>
      <c r="N58" s="4">
        <v>0.05</v>
      </c>
      <c r="O58" s="4">
        <v>6.3390000000000002E-2</v>
      </c>
      <c r="P58" s="4">
        <v>4.0000000000000001E-3</v>
      </c>
      <c r="Q58" s="4">
        <v>5.63</v>
      </c>
      <c r="R58" t="s">
        <v>47</v>
      </c>
      <c r="T58" s="3">
        <f t="shared" si="13"/>
        <v>6419.2</v>
      </c>
      <c r="U58" s="3">
        <f t="shared" si="14"/>
        <v>129580.8</v>
      </c>
      <c r="V58" s="3">
        <f t="shared" si="15"/>
        <v>84224.8</v>
      </c>
      <c r="W58" s="3">
        <f t="shared" si="16"/>
        <v>3941.7424000000001</v>
      </c>
      <c r="X58" s="3">
        <f t="shared" si="17"/>
        <v>3542.8</v>
      </c>
      <c r="Y58" s="3">
        <f t="shared" si="18"/>
        <v>0</v>
      </c>
      <c r="Z58" s="3">
        <f t="shared" si="19"/>
        <v>68</v>
      </c>
      <c r="AA58" s="3">
        <f t="shared" si="20"/>
        <v>86.210400000000007</v>
      </c>
      <c r="AB58" s="3">
        <f t="shared" si="21"/>
        <v>5.44</v>
      </c>
      <c r="AC58" s="3">
        <f t="shared" si="22"/>
        <v>7656.8</v>
      </c>
    </row>
    <row r="59" spans="1:29" x14ac:dyDescent="0.3">
      <c r="A59">
        <v>54</v>
      </c>
      <c r="B59" s="5">
        <v>110439</v>
      </c>
      <c r="C59" t="s">
        <v>87</v>
      </c>
      <c r="D59" s="5" t="s">
        <v>49</v>
      </c>
      <c r="E59" s="5" t="s">
        <v>54</v>
      </c>
      <c r="F59" s="5" t="s">
        <v>52</v>
      </c>
      <c r="G59" s="4">
        <v>600</v>
      </c>
      <c r="H59" s="4">
        <v>4.38</v>
      </c>
      <c r="I59" s="4">
        <v>4.6500000000000004</v>
      </c>
      <c r="J59" s="4">
        <v>66.8</v>
      </c>
      <c r="K59" s="4">
        <v>0.93210999999999999</v>
      </c>
      <c r="L59" s="4">
        <v>0.72499999999999998</v>
      </c>
      <c r="M59" s="4">
        <v>0</v>
      </c>
      <c r="N59" s="4">
        <v>1.4E-2</v>
      </c>
      <c r="O59" s="4">
        <v>4.1570000000000003E-2</v>
      </c>
      <c r="P59" s="4">
        <v>-2E-3</v>
      </c>
      <c r="Q59" s="4">
        <v>2.68</v>
      </c>
      <c r="R59" t="s">
        <v>47</v>
      </c>
      <c r="T59" s="3">
        <f t="shared" si="13"/>
        <v>2628</v>
      </c>
      <c r="U59" s="3">
        <f t="shared" si="14"/>
        <v>2790</v>
      </c>
      <c r="V59" s="3">
        <f t="shared" si="15"/>
        <v>40080</v>
      </c>
      <c r="W59" s="3">
        <f t="shared" si="16"/>
        <v>559.26599999999996</v>
      </c>
      <c r="X59" s="3">
        <f t="shared" si="17"/>
        <v>435</v>
      </c>
      <c r="Y59" s="3">
        <f t="shared" si="18"/>
        <v>0</v>
      </c>
      <c r="Z59" s="3">
        <f t="shared" si="19"/>
        <v>8.4</v>
      </c>
      <c r="AA59" s="3">
        <f t="shared" si="20"/>
        <v>24.942</v>
      </c>
      <c r="AB59" s="3">
        <f t="shared" si="21"/>
        <v>-1.2</v>
      </c>
      <c r="AC59" s="3">
        <f t="shared" si="22"/>
        <v>1608</v>
      </c>
    </row>
    <row r="60" spans="1:29" x14ac:dyDescent="0.3">
      <c r="A60">
        <v>55</v>
      </c>
      <c r="B60" s="5">
        <v>110444</v>
      </c>
      <c r="C60" t="s">
        <v>87</v>
      </c>
      <c r="D60" s="5" t="s">
        <v>49</v>
      </c>
      <c r="E60" s="5" t="s">
        <v>54</v>
      </c>
      <c r="F60" s="5" t="s">
        <v>55</v>
      </c>
      <c r="G60" s="4">
        <v>1400</v>
      </c>
      <c r="H60" s="4">
        <v>4.63</v>
      </c>
      <c r="I60" s="4">
        <v>95.37</v>
      </c>
      <c r="J60" s="4">
        <v>63.22</v>
      </c>
      <c r="K60" s="4">
        <v>2.8238599999999998</v>
      </c>
      <c r="L60" s="4">
        <v>2.8090000000000002</v>
      </c>
      <c r="M60" s="4">
        <v>0</v>
      </c>
      <c r="N60" s="4">
        <v>4.9000000000000002E-2</v>
      </c>
      <c r="O60" s="4">
        <v>5.2010000000000001E-2</v>
      </c>
      <c r="P60" s="4">
        <v>1.2E-2</v>
      </c>
      <c r="Q60" s="4">
        <v>3.67</v>
      </c>
      <c r="R60" t="s">
        <v>47</v>
      </c>
      <c r="T60" s="3">
        <f t="shared" si="13"/>
        <v>6482</v>
      </c>
      <c r="U60" s="3">
        <f t="shared" si="14"/>
        <v>133518</v>
      </c>
      <c r="V60" s="3">
        <f t="shared" si="15"/>
        <v>88508</v>
      </c>
      <c r="W60" s="3">
        <f t="shared" si="16"/>
        <v>3953.4039999999995</v>
      </c>
      <c r="X60" s="3">
        <f t="shared" si="17"/>
        <v>3932.6000000000004</v>
      </c>
      <c r="Y60" s="3">
        <f t="shared" si="18"/>
        <v>0</v>
      </c>
      <c r="Z60" s="3">
        <f t="shared" si="19"/>
        <v>68.600000000000009</v>
      </c>
      <c r="AA60" s="3">
        <f t="shared" si="20"/>
        <v>72.814000000000007</v>
      </c>
      <c r="AB60" s="3">
        <f t="shared" si="21"/>
        <v>16.8</v>
      </c>
      <c r="AC60" s="3">
        <f t="shared" si="22"/>
        <v>5138</v>
      </c>
    </row>
    <row r="61" spans="1:29" x14ac:dyDescent="0.3">
      <c r="A61">
        <v>56</v>
      </c>
      <c r="B61" s="5">
        <v>110441</v>
      </c>
      <c r="C61" t="s">
        <v>87</v>
      </c>
      <c r="D61" s="5" t="s">
        <v>49</v>
      </c>
      <c r="E61" s="5" t="s">
        <v>88</v>
      </c>
      <c r="F61" s="5" t="s">
        <v>55</v>
      </c>
      <c r="G61" s="4">
        <v>1000</v>
      </c>
      <c r="H61" s="4">
        <v>4.49</v>
      </c>
      <c r="I61" s="4">
        <v>95.51</v>
      </c>
      <c r="J61" s="4">
        <v>62.95</v>
      </c>
      <c r="K61" s="4">
        <v>2.8434900000000001</v>
      </c>
      <c r="L61" s="4">
        <v>3.1280000000000001</v>
      </c>
      <c r="M61" s="4">
        <v>0</v>
      </c>
      <c r="N61" s="4">
        <v>5.1999999999999998E-2</v>
      </c>
      <c r="O61" s="4">
        <v>5.0970000000000001E-2</v>
      </c>
      <c r="P61" s="4">
        <v>1.4E-2</v>
      </c>
      <c r="Q61" s="4">
        <v>3.77</v>
      </c>
      <c r="R61" t="s">
        <v>47</v>
      </c>
      <c r="T61" s="3">
        <f t="shared" si="13"/>
        <v>4490</v>
      </c>
      <c r="U61" s="3">
        <f t="shared" si="14"/>
        <v>95510</v>
      </c>
      <c r="V61" s="3">
        <f t="shared" si="15"/>
        <v>62950</v>
      </c>
      <c r="W61" s="3">
        <f t="shared" si="16"/>
        <v>2843.4900000000002</v>
      </c>
      <c r="X61" s="3">
        <f t="shared" si="17"/>
        <v>3128</v>
      </c>
      <c r="Y61" s="3">
        <f t="shared" si="18"/>
        <v>0</v>
      </c>
      <c r="Z61" s="3">
        <f t="shared" si="19"/>
        <v>52</v>
      </c>
      <c r="AA61" s="3">
        <f t="shared" si="20"/>
        <v>50.97</v>
      </c>
      <c r="AB61" s="3">
        <f t="shared" si="21"/>
        <v>14</v>
      </c>
      <c r="AC61" s="3">
        <f t="shared" si="22"/>
        <v>3770</v>
      </c>
    </row>
    <row r="62" spans="1:29" x14ac:dyDescent="0.3">
      <c r="A62">
        <v>57</v>
      </c>
      <c r="B62" s="5">
        <v>110427</v>
      </c>
      <c r="C62" t="s">
        <v>89</v>
      </c>
      <c r="D62" s="5" t="s">
        <v>49</v>
      </c>
      <c r="E62" s="5" t="s">
        <v>51</v>
      </c>
      <c r="F62" s="5" t="s">
        <v>52</v>
      </c>
      <c r="G62" s="4">
        <v>360</v>
      </c>
      <c r="H62" s="4">
        <v>4.29</v>
      </c>
      <c r="I62" s="4">
        <v>4.76</v>
      </c>
      <c r="J62" s="4">
        <v>61.95</v>
      </c>
      <c r="K62" s="4">
        <v>3.7757100000000001</v>
      </c>
      <c r="L62" s="4">
        <v>2.3980000000000001</v>
      </c>
      <c r="M62" s="4">
        <v>0</v>
      </c>
      <c r="N62" s="4">
        <v>1.7999999999999999E-2</v>
      </c>
      <c r="O62" s="4">
        <v>6.6460000000000005E-2</v>
      </c>
      <c r="P62" s="4">
        <v>1.4E-2</v>
      </c>
      <c r="Q62" s="4">
        <v>4.95</v>
      </c>
      <c r="R62" t="s">
        <v>47</v>
      </c>
      <c r="T62" s="3">
        <f t="shared" si="13"/>
        <v>1544.4</v>
      </c>
      <c r="U62" s="3">
        <f t="shared" si="14"/>
        <v>1713.6</v>
      </c>
      <c r="V62" s="3">
        <f t="shared" si="15"/>
        <v>22302</v>
      </c>
      <c r="W62" s="3">
        <f t="shared" si="16"/>
        <v>1359.2556</v>
      </c>
      <c r="X62" s="3">
        <f t="shared" si="17"/>
        <v>863.28000000000009</v>
      </c>
      <c r="Y62" s="3">
        <f t="shared" si="18"/>
        <v>0</v>
      </c>
      <c r="Z62" s="3">
        <f t="shared" si="19"/>
        <v>6.4799999999999995</v>
      </c>
      <c r="AA62" s="3">
        <f t="shared" si="20"/>
        <v>23.925600000000003</v>
      </c>
      <c r="AB62" s="3">
        <f t="shared" si="21"/>
        <v>5.04</v>
      </c>
      <c r="AC62" s="3">
        <f t="shared" si="22"/>
        <v>1782</v>
      </c>
    </row>
    <row r="63" spans="1:29" x14ac:dyDescent="0.3">
      <c r="A63">
        <v>58</v>
      </c>
      <c r="B63" s="5">
        <v>110426</v>
      </c>
      <c r="C63" t="s">
        <v>89</v>
      </c>
      <c r="D63" s="5" t="s">
        <v>49</v>
      </c>
      <c r="E63" s="5" t="s">
        <v>51</v>
      </c>
      <c r="F63" s="5" t="s">
        <v>55</v>
      </c>
      <c r="G63" s="4">
        <v>1440</v>
      </c>
      <c r="H63" s="4">
        <v>4.87</v>
      </c>
      <c r="I63" s="4">
        <v>95.13</v>
      </c>
      <c r="J63" s="4">
        <v>58.59</v>
      </c>
      <c r="K63" s="4">
        <v>4.3228799999999996</v>
      </c>
      <c r="L63" s="4">
        <v>5.1559999999999997</v>
      </c>
      <c r="M63" s="4">
        <v>0</v>
      </c>
      <c r="N63" s="4">
        <v>5.5E-2</v>
      </c>
      <c r="O63" s="4">
        <v>7.9369999999999996E-2</v>
      </c>
      <c r="P63" s="4">
        <v>2.7E-2</v>
      </c>
      <c r="Q63" s="4">
        <v>6.35</v>
      </c>
      <c r="R63" t="s">
        <v>47</v>
      </c>
      <c r="T63" s="3">
        <f t="shared" si="13"/>
        <v>7012.8</v>
      </c>
      <c r="U63" s="3">
        <f t="shared" si="14"/>
        <v>136987.19999999998</v>
      </c>
      <c r="V63" s="3">
        <f t="shared" si="15"/>
        <v>84369.600000000006</v>
      </c>
      <c r="W63" s="3">
        <f t="shared" si="16"/>
        <v>6224.9471999999996</v>
      </c>
      <c r="X63" s="3">
        <f t="shared" si="17"/>
        <v>7424.6399999999994</v>
      </c>
      <c r="Y63" s="3">
        <f t="shared" si="18"/>
        <v>0</v>
      </c>
      <c r="Z63" s="3">
        <f t="shared" si="19"/>
        <v>79.2</v>
      </c>
      <c r="AA63" s="3">
        <f t="shared" si="20"/>
        <v>114.2928</v>
      </c>
      <c r="AB63" s="3">
        <f t="shared" si="21"/>
        <v>38.880000000000003</v>
      </c>
      <c r="AC63" s="3">
        <f t="shared" si="22"/>
        <v>9144</v>
      </c>
    </row>
    <row r="64" spans="1:29" x14ac:dyDescent="0.3">
      <c r="A64">
        <v>59</v>
      </c>
      <c r="B64" s="5">
        <v>110423</v>
      </c>
      <c r="C64" t="s">
        <v>90</v>
      </c>
      <c r="D64" s="5" t="s">
        <v>49</v>
      </c>
      <c r="E64" s="5" t="s">
        <v>51</v>
      </c>
      <c r="F64" s="5" t="s">
        <v>52</v>
      </c>
      <c r="G64" s="4">
        <v>300</v>
      </c>
      <c r="H64" s="4">
        <v>4.47</v>
      </c>
      <c r="I64" s="4">
        <v>4.7300000000000004</v>
      </c>
      <c r="J64" s="4">
        <v>60.97</v>
      </c>
      <c r="K64" s="4">
        <v>3.4405800000000002</v>
      </c>
      <c r="L64" s="4">
        <v>3.6469999999999998</v>
      </c>
      <c r="M64" s="4">
        <v>8.9999999999999993E-3</v>
      </c>
      <c r="N64" s="4">
        <v>5.5E-2</v>
      </c>
      <c r="O64" s="4">
        <v>6.6830000000000001E-2</v>
      </c>
      <c r="P64" s="4">
        <v>3.9E-2</v>
      </c>
      <c r="Q64" s="4">
        <v>5.39</v>
      </c>
      <c r="R64" t="s">
        <v>47</v>
      </c>
      <c r="T64" s="3">
        <f t="shared" si="13"/>
        <v>1341</v>
      </c>
      <c r="U64" s="3">
        <f t="shared" si="14"/>
        <v>1419.0000000000002</v>
      </c>
      <c r="V64" s="3">
        <f t="shared" si="15"/>
        <v>18291</v>
      </c>
      <c r="W64" s="3">
        <f t="shared" si="16"/>
        <v>1032.174</v>
      </c>
      <c r="X64" s="3">
        <f t="shared" si="17"/>
        <v>1094.0999999999999</v>
      </c>
      <c r="Y64" s="3">
        <f t="shared" si="18"/>
        <v>2.6999999999999997</v>
      </c>
      <c r="Z64" s="3">
        <f t="shared" si="19"/>
        <v>16.5</v>
      </c>
      <c r="AA64" s="3">
        <f t="shared" si="20"/>
        <v>20.048999999999999</v>
      </c>
      <c r="AB64" s="3">
        <f t="shared" si="21"/>
        <v>11.7</v>
      </c>
      <c r="AC64" s="3">
        <f t="shared" si="22"/>
        <v>1617</v>
      </c>
    </row>
    <row r="65" spans="1:29" x14ac:dyDescent="0.3">
      <c r="A65">
        <v>60</v>
      </c>
      <c r="B65" s="5">
        <v>110419</v>
      </c>
      <c r="C65" t="s">
        <v>90</v>
      </c>
      <c r="D65" s="5" t="s">
        <v>49</v>
      </c>
      <c r="E65" s="5" t="s">
        <v>51</v>
      </c>
      <c r="F65" s="5" t="s">
        <v>55</v>
      </c>
      <c r="G65" s="4">
        <v>1200</v>
      </c>
      <c r="H65" s="4">
        <v>4.78</v>
      </c>
      <c r="I65" s="4">
        <v>95.22</v>
      </c>
      <c r="J65" s="4">
        <v>61.46</v>
      </c>
      <c r="K65" s="4">
        <v>3.49701</v>
      </c>
      <c r="L65" s="4">
        <v>3.9079999999999999</v>
      </c>
      <c r="M65" s="4">
        <v>8.9999999999999993E-3</v>
      </c>
      <c r="N65" s="4">
        <v>3.9E-2</v>
      </c>
      <c r="O65" s="4">
        <v>5.509E-2</v>
      </c>
      <c r="P65" s="4">
        <v>1.6E-2</v>
      </c>
      <c r="Q65" s="4">
        <v>4.43</v>
      </c>
      <c r="R65" t="s">
        <v>47</v>
      </c>
      <c r="T65" s="3">
        <f t="shared" si="13"/>
        <v>5736</v>
      </c>
      <c r="U65" s="3">
        <f t="shared" si="14"/>
        <v>114264</v>
      </c>
      <c r="V65" s="3">
        <f t="shared" si="15"/>
        <v>73752</v>
      </c>
      <c r="W65" s="3">
        <f t="shared" si="16"/>
        <v>4196.4120000000003</v>
      </c>
      <c r="X65" s="3">
        <f t="shared" si="17"/>
        <v>4689.5999999999995</v>
      </c>
      <c r="Y65" s="3">
        <f t="shared" si="18"/>
        <v>10.799999999999999</v>
      </c>
      <c r="Z65" s="3">
        <f t="shared" si="19"/>
        <v>46.8</v>
      </c>
      <c r="AA65" s="3">
        <f t="shared" si="20"/>
        <v>66.108000000000004</v>
      </c>
      <c r="AB65" s="3">
        <f t="shared" si="21"/>
        <v>19.2</v>
      </c>
      <c r="AC65" s="3">
        <f t="shared" si="22"/>
        <v>5316</v>
      </c>
    </row>
    <row r="66" spans="1:29" x14ac:dyDescent="0.3">
      <c r="A66">
        <v>61</v>
      </c>
      <c r="B66" s="5">
        <v>110398</v>
      </c>
      <c r="C66" t="s">
        <v>92</v>
      </c>
      <c r="D66" s="5" t="s">
        <v>49</v>
      </c>
      <c r="E66" s="5" t="s">
        <v>51</v>
      </c>
      <c r="F66" s="5" t="s">
        <v>52</v>
      </c>
      <c r="G66" s="4">
        <v>200</v>
      </c>
      <c r="H66" s="4">
        <v>4.3600000000000003</v>
      </c>
      <c r="I66" s="4">
        <v>4.74</v>
      </c>
      <c r="J66" s="4">
        <v>63.32</v>
      </c>
      <c r="K66" s="4">
        <v>2.1559200000000001</v>
      </c>
      <c r="L66" s="4">
        <v>2.6640000000000001</v>
      </c>
      <c r="M66" s="4">
        <v>0</v>
      </c>
      <c r="N66" s="4">
        <v>2.5000000000000001E-2</v>
      </c>
      <c r="O66" s="4">
        <v>6.5420000000000006E-2</v>
      </c>
      <c r="P66" s="4">
        <v>4.0000000000000001E-3</v>
      </c>
      <c r="Q66" s="4">
        <v>4.4000000000000004</v>
      </c>
      <c r="R66" t="s">
        <v>47</v>
      </c>
      <c r="T66" s="3">
        <f t="shared" si="13"/>
        <v>872.00000000000011</v>
      </c>
      <c r="U66" s="3">
        <f t="shared" si="14"/>
        <v>948</v>
      </c>
      <c r="V66" s="3">
        <f t="shared" si="15"/>
        <v>12664</v>
      </c>
      <c r="W66" s="3">
        <f t="shared" si="16"/>
        <v>431.18400000000003</v>
      </c>
      <c r="X66" s="3">
        <f t="shared" si="17"/>
        <v>532.80000000000007</v>
      </c>
      <c r="Y66" s="3">
        <f t="shared" si="18"/>
        <v>0</v>
      </c>
      <c r="Z66" s="3">
        <f t="shared" si="19"/>
        <v>5</v>
      </c>
      <c r="AA66" s="3">
        <f t="shared" si="20"/>
        <v>13.084000000000001</v>
      </c>
      <c r="AB66" s="3">
        <f t="shared" si="21"/>
        <v>0.8</v>
      </c>
      <c r="AC66" s="3">
        <f t="shared" si="22"/>
        <v>880.00000000000011</v>
      </c>
    </row>
    <row r="67" spans="1:29" x14ac:dyDescent="0.3">
      <c r="A67">
        <v>62</v>
      </c>
      <c r="B67" s="5">
        <v>110397</v>
      </c>
      <c r="C67" t="s">
        <v>92</v>
      </c>
      <c r="D67" s="5" t="s">
        <v>49</v>
      </c>
      <c r="E67" s="5" t="s">
        <v>51</v>
      </c>
      <c r="F67" s="5" t="s">
        <v>55</v>
      </c>
      <c r="G67" s="4">
        <v>800</v>
      </c>
      <c r="H67" s="4">
        <v>4.88</v>
      </c>
      <c r="I67" s="4">
        <v>95.12</v>
      </c>
      <c r="J67" s="4">
        <v>62.93</v>
      </c>
      <c r="K67" s="4">
        <v>3.41683</v>
      </c>
      <c r="L67" s="4">
        <v>2.8769999999999998</v>
      </c>
      <c r="M67" s="4">
        <v>0</v>
      </c>
      <c r="N67" s="4">
        <v>0.05</v>
      </c>
      <c r="O67" s="4">
        <v>4.8469999999999999E-2</v>
      </c>
      <c r="P67" s="4">
        <v>5.0999999999999997E-2</v>
      </c>
      <c r="Q67" s="4">
        <v>3.39</v>
      </c>
      <c r="R67" t="s">
        <v>47</v>
      </c>
      <c r="T67" s="3">
        <f t="shared" si="13"/>
        <v>3904</v>
      </c>
      <c r="U67" s="3">
        <f t="shared" si="14"/>
        <v>76096</v>
      </c>
      <c r="V67" s="3">
        <f t="shared" si="15"/>
        <v>50344</v>
      </c>
      <c r="W67" s="3">
        <f t="shared" si="16"/>
        <v>2733.4639999999999</v>
      </c>
      <c r="X67" s="3">
        <f t="shared" si="17"/>
        <v>2301.6</v>
      </c>
      <c r="Y67" s="3">
        <f t="shared" si="18"/>
        <v>0</v>
      </c>
      <c r="Z67" s="3">
        <f t="shared" si="19"/>
        <v>40</v>
      </c>
      <c r="AA67" s="3">
        <f t="shared" si="20"/>
        <v>38.775999999999996</v>
      </c>
      <c r="AB67" s="3">
        <f t="shared" si="21"/>
        <v>40.799999999999997</v>
      </c>
      <c r="AC67" s="3">
        <f t="shared" si="22"/>
        <v>2712</v>
      </c>
    </row>
    <row r="68" spans="1:29" x14ac:dyDescent="0.3">
      <c r="A68">
        <v>63</v>
      </c>
      <c r="B68" s="5">
        <v>106635</v>
      </c>
      <c r="C68" t="s">
        <v>93</v>
      </c>
      <c r="D68" s="5" t="s">
        <v>49</v>
      </c>
      <c r="E68" s="5" t="s">
        <v>51</v>
      </c>
      <c r="F68" s="5" t="s">
        <v>52</v>
      </c>
      <c r="G68" s="4">
        <v>400</v>
      </c>
      <c r="H68" s="4">
        <v>4.66</v>
      </c>
      <c r="I68" s="4">
        <v>4.93</v>
      </c>
      <c r="J68" s="4">
        <v>63.8</v>
      </c>
      <c r="K68" s="4">
        <v>1.5256700000000001</v>
      </c>
      <c r="L68" s="4">
        <v>1.9750000000000001</v>
      </c>
      <c r="M68" s="4">
        <v>0</v>
      </c>
      <c r="N68" s="4">
        <v>2.3E-2</v>
      </c>
      <c r="O68" s="4">
        <v>9.5210000000000003E-2</v>
      </c>
      <c r="P68" s="4">
        <v>1.0999999999999999E-2</v>
      </c>
      <c r="Q68" s="4">
        <v>4.9400000000000004</v>
      </c>
      <c r="R68" t="s">
        <v>94</v>
      </c>
      <c r="T68" s="3">
        <f t="shared" si="13"/>
        <v>1864</v>
      </c>
      <c r="U68" s="3">
        <f t="shared" si="14"/>
        <v>1972</v>
      </c>
      <c r="V68" s="3">
        <f t="shared" si="15"/>
        <v>25520</v>
      </c>
      <c r="W68" s="3">
        <f t="shared" si="16"/>
        <v>610.26800000000003</v>
      </c>
      <c r="X68" s="3">
        <f t="shared" si="17"/>
        <v>790</v>
      </c>
      <c r="Y68" s="3">
        <f t="shared" si="18"/>
        <v>0</v>
      </c>
      <c r="Z68" s="3">
        <f t="shared" si="19"/>
        <v>9.1999999999999993</v>
      </c>
      <c r="AA68" s="3">
        <f t="shared" si="20"/>
        <v>38.084000000000003</v>
      </c>
      <c r="AB68" s="3">
        <f t="shared" si="21"/>
        <v>4.3999999999999995</v>
      </c>
      <c r="AC68" s="3">
        <f t="shared" si="22"/>
        <v>1976.0000000000002</v>
      </c>
    </row>
    <row r="69" spans="1:29" x14ac:dyDescent="0.3">
      <c r="A69">
        <v>64</v>
      </c>
      <c r="B69" s="5">
        <v>106634</v>
      </c>
      <c r="C69" t="s">
        <v>93</v>
      </c>
      <c r="D69" s="5" t="s">
        <v>49</v>
      </c>
      <c r="E69" s="5" t="s">
        <v>65</v>
      </c>
      <c r="F69" s="5" t="s">
        <v>55</v>
      </c>
      <c r="G69" s="4">
        <v>600</v>
      </c>
      <c r="H69" s="4">
        <v>4.84</v>
      </c>
      <c r="I69" s="4">
        <v>95.16</v>
      </c>
      <c r="J69" s="4">
        <v>62.5</v>
      </c>
      <c r="K69" s="4">
        <v>4.5761099999999999</v>
      </c>
      <c r="L69" s="4">
        <v>2.4750000000000001</v>
      </c>
      <c r="M69" s="4">
        <v>0</v>
      </c>
      <c r="N69" s="4">
        <v>4.7E-2</v>
      </c>
      <c r="O69" s="4">
        <v>4.7699999999999999E-2</v>
      </c>
      <c r="P69" s="4">
        <v>5.8000000000000003E-2</v>
      </c>
      <c r="Q69" s="4">
        <v>3.27</v>
      </c>
      <c r="R69" t="s">
        <v>94</v>
      </c>
      <c r="T69" s="3">
        <f t="shared" si="13"/>
        <v>2904</v>
      </c>
      <c r="U69" s="3">
        <f t="shared" si="14"/>
        <v>57096</v>
      </c>
      <c r="V69" s="3">
        <f t="shared" si="15"/>
        <v>37500</v>
      </c>
      <c r="W69" s="3">
        <f t="shared" si="16"/>
        <v>2745.6660000000002</v>
      </c>
      <c r="X69" s="3">
        <f t="shared" si="17"/>
        <v>1485</v>
      </c>
      <c r="Y69" s="3">
        <f t="shared" si="18"/>
        <v>0</v>
      </c>
      <c r="Z69" s="3">
        <f t="shared" si="19"/>
        <v>28.2</v>
      </c>
      <c r="AA69" s="3">
        <f t="shared" si="20"/>
        <v>28.62</v>
      </c>
      <c r="AB69" s="3">
        <f t="shared" si="21"/>
        <v>34.800000000000004</v>
      </c>
      <c r="AC69" s="3">
        <f t="shared" si="22"/>
        <v>1962</v>
      </c>
    </row>
    <row r="70" spans="1:29" x14ac:dyDescent="0.3">
      <c r="A70">
        <v>65</v>
      </c>
      <c r="B70" s="5">
        <v>106633</v>
      </c>
      <c r="C70" t="s">
        <v>93</v>
      </c>
      <c r="D70" s="5" t="s">
        <v>49</v>
      </c>
      <c r="E70" s="5" t="s">
        <v>51</v>
      </c>
      <c r="F70" s="5" t="s">
        <v>55</v>
      </c>
      <c r="G70" s="4">
        <v>1000</v>
      </c>
      <c r="H70" s="4">
        <v>4.7300000000000004</v>
      </c>
      <c r="I70" s="4">
        <v>95.27</v>
      </c>
      <c r="J70" s="4">
        <v>62.72</v>
      </c>
      <c r="K70" s="4">
        <v>4.1065399999999999</v>
      </c>
      <c r="L70" s="4">
        <v>2.3730000000000002</v>
      </c>
      <c r="M70" s="4">
        <v>0</v>
      </c>
      <c r="N70" s="4">
        <v>5.8000000000000003E-2</v>
      </c>
      <c r="O70" s="4">
        <v>5.9180000000000003E-2</v>
      </c>
      <c r="P70" s="4">
        <v>0.154</v>
      </c>
      <c r="Q70" s="4">
        <v>3.37</v>
      </c>
      <c r="R70" t="s">
        <v>95</v>
      </c>
      <c r="T70" s="3">
        <f t="shared" si="13"/>
        <v>4730</v>
      </c>
      <c r="U70" s="3">
        <f t="shared" si="14"/>
        <v>95270</v>
      </c>
      <c r="V70" s="3">
        <f t="shared" si="15"/>
        <v>62720</v>
      </c>
      <c r="W70" s="3">
        <f t="shared" si="16"/>
        <v>4106.54</v>
      </c>
      <c r="X70" s="3">
        <f t="shared" si="17"/>
        <v>2373</v>
      </c>
      <c r="Y70" s="3">
        <f t="shared" si="18"/>
        <v>0</v>
      </c>
      <c r="Z70" s="3">
        <f t="shared" si="19"/>
        <v>58</v>
      </c>
      <c r="AA70" s="3">
        <f t="shared" si="20"/>
        <v>59.180000000000007</v>
      </c>
      <c r="AB70" s="3">
        <f t="shared" si="21"/>
        <v>154</v>
      </c>
      <c r="AC70" s="3">
        <f t="shared" si="22"/>
        <v>3370</v>
      </c>
    </row>
    <row r="71" spans="1:29" x14ac:dyDescent="0.3">
      <c r="A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28.8" x14ac:dyDescent="0.3">
      <c r="H72" s="1" t="s">
        <v>30</v>
      </c>
      <c r="I72" s="1" t="s">
        <v>31</v>
      </c>
      <c r="J72" s="1" t="s">
        <v>33</v>
      </c>
      <c r="K72" s="1" t="s">
        <v>34</v>
      </c>
      <c r="L72" s="1" t="s">
        <v>35</v>
      </c>
      <c r="M72" s="1" t="s">
        <v>36</v>
      </c>
      <c r="N72" s="1" t="s">
        <v>37</v>
      </c>
      <c r="O72" s="1" t="s">
        <v>39</v>
      </c>
      <c r="P72" s="1" t="s">
        <v>40</v>
      </c>
      <c r="Q72" s="1" t="s">
        <v>41</v>
      </c>
    </row>
    <row r="73" spans="1:29" x14ac:dyDescent="0.3">
      <c r="F73" s="7" t="s">
        <v>55</v>
      </c>
      <c r="G73" s="7">
        <f>SUMIF(F6:F70,"Fines",G6:G70)</f>
        <v>36000</v>
      </c>
      <c r="H73" s="9">
        <f>T73/$G$73</f>
        <v>4.7353777777777779</v>
      </c>
      <c r="I73" s="7">
        <f t="shared" ref="I73:Q73" si="23">U73/$G$73</f>
        <v>95.264622222222215</v>
      </c>
      <c r="J73" s="8">
        <f t="shared" si="23"/>
        <v>60.499288888888898</v>
      </c>
      <c r="K73" s="7">
        <f t="shared" si="23"/>
        <v>3.9555036222222228</v>
      </c>
      <c r="L73" s="7">
        <f t="shared" si="23"/>
        <v>4.0188322222222217</v>
      </c>
      <c r="M73" s="7">
        <f t="shared" si="23"/>
        <v>1E-3</v>
      </c>
      <c r="N73" s="7">
        <f t="shared" si="23"/>
        <v>5.2439999999999994E-2</v>
      </c>
      <c r="O73" s="7">
        <f t="shared" si="23"/>
        <v>6.8184111111111098E-2</v>
      </c>
      <c r="P73" s="7">
        <f t="shared" si="23"/>
        <v>2.5105555555555551E-2</v>
      </c>
      <c r="Q73" s="7">
        <f t="shared" si="23"/>
        <v>5.1619111111111105</v>
      </c>
      <c r="T73">
        <f>SUMIF($F$6:$F$70,"Fines",T6:T70)</f>
        <v>170473.60000000001</v>
      </c>
      <c r="U73">
        <f t="shared" ref="U73:AC73" si="24">SUMIF($F$6:$F$70,"Fines",U6:U70)</f>
        <v>3429526.4</v>
      </c>
      <c r="V73">
        <f t="shared" si="24"/>
        <v>2177974.4000000004</v>
      </c>
      <c r="W73">
        <f t="shared" si="24"/>
        <v>142398.13040000002</v>
      </c>
      <c r="X73">
        <f t="shared" si="24"/>
        <v>144677.96</v>
      </c>
      <c r="Y73">
        <f t="shared" si="24"/>
        <v>36</v>
      </c>
      <c r="Z73">
        <f t="shared" si="24"/>
        <v>1887.8399999999997</v>
      </c>
      <c r="AA73">
        <f t="shared" si="24"/>
        <v>2454.6279999999997</v>
      </c>
      <c r="AB73">
        <f t="shared" si="24"/>
        <v>903.79999999999984</v>
      </c>
      <c r="AC73">
        <f t="shared" si="24"/>
        <v>185828.8</v>
      </c>
    </row>
    <row r="74" spans="1:29" x14ac:dyDescent="0.3">
      <c r="F74" s="7" t="s">
        <v>120</v>
      </c>
      <c r="G74" s="7">
        <f>SUMIF(F6:F70,"10 - 40 mm",G6:G70)</f>
        <v>9000</v>
      </c>
      <c r="H74" s="7">
        <f>T74/$G$74</f>
        <v>4.4619777777777783</v>
      </c>
      <c r="I74" s="7">
        <f t="shared" ref="I74:Q74" si="25">U74/$G$74</f>
        <v>4.7796666666666665</v>
      </c>
      <c r="J74" s="7">
        <f t="shared" si="25"/>
        <v>63.00823333333333</v>
      </c>
      <c r="K74" s="7">
        <f t="shared" si="25"/>
        <v>2.3431324444444441</v>
      </c>
      <c r="L74" s="7">
        <f t="shared" si="25"/>
        <v>2.62696</v>
      </c>
      <c r="M74" s="7">
        <f t="shared" si="25"/>
        <v>8.1111111111111097E-4</v>
      </c>
      <c r="N74" s="7">
        <f t="shared" si="25"/>
        <v>2.5664444444444441E-2</v>
      </c>
      <c r="O74" s="7">
        <f t="shared" si="25"/>
        <v>6.7553266666666667E-2</v>
      </c>
      <c r="P74" s="7">
        <f t="shared" si="25"/>
        <v>1.5851111111111111E-2</v>
      </c>
      <c r="Q74" s="7">
        <f t="shared" si="25"/>
        <v>4.6328666666666667</v>
      </c>
      <c r="T74">
        <f>SUMIF($F$6:$F$70,"10 - 40 mm",T6:T70)</f>
        <v>40157.800000000003</v>
      </c>
      <c r="U74">
        <f t="shared" ref="U74:AC74" si="26">SUMIF($F$6:$F$70,"10 - 40 mm",U6:U70)</f>
        <v>43017</v>
      </c>
      <c r="V74">
        <f t="shared" si="26"/>
        <v>567074.1</v>
      </c>
      <c r="W74">
        <f t="shared" si="26"/>
        <v>21088.191999999999</v>
      </c>
      <c r="X74">
        <f t="shared" si="26"/>
        <v>23642.639999999999</v>
      </c>
      <c r="Y74">
        <f t="shared" si="26"/>
        <v>7.2999999999999989</v>
      </c>
      <c r="Z74">
        <f t="shared" si="26"/>
        <v>230.97999999999996</v>
      </c>
      <c r="AA74">
        <f t="shared" si="26"/>
        <v>607.97939999999994</v>
      </c>
      <c r="AB74">
        <f t="shared" si="26"/>
        <v>142.66</v>
      </c>
      <c r="AC74">
        <f t="shared" si="26"/>
        <v>41695.800000000003</v>
      </c>
    </row>
  </sheetData>
  <autoFilter ref="A5:AC70" xr:uid="{00000000-0001-0000-0000-000000000000}"/>
  <mergeCells count="10">
    <mergeCell ref="A1:Q1"/>
    <mergeCell ref="A3:A5"/>
    <mergeCell ref="R3:R5"/>
    <mergeCell ref="C3:C5"/>
    <mergeCell ref="D3:D5"/>
    <mergeCell ref="E3:E5"/>
    <mergeCell ref="F3:F5"/>
    <mergeCell ref="G3:G5"/>
    <mergeCell ref="H3:I3"/>
    <mergeCell ref="J3:Q3"/>
  </mergeCells>
  <conditionalFormatting sqref="J6:J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"/>
  <sheetViews>
    <sheetView workbookViewId="0"/>
  </sheetViews>
  <sheetFormatPr defaultRowHeight="14.4" x14ac:dyDescent="0.3"/>
  <sheetData>
    <row r="2" spans="2:11" x14ac:dyDescent="0.3">
      <c r="B2" s="12" t="s">
        <v>96</v>
      </c>
      <c r="C2" s="11"/>
      <c r="D2" s="11"/>
      <c r="E2" s="11"/>
      <c r="F2" s="11"/>
      <c r="G2" s="11"/>
      <c r="H2" s="11"/>
      <c r="I2" s="11"/>
      <c r="J2" s="11"/>
      <c r="K2" s="11"/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topLeftCell="R1" workbookViewId="0">
      <selection sqref="A1:K1"/>
    </sheetView>
  </sheetViews>
  <sheetFormatPr defaultRowHeight="14.4" x14ac:dyDescent="0.3"/>
  <cols>
    <col min="1" max="2" width="23.44140625" customWidth="1"/>
    <col min="3" max="3" width="26.109375" bestFit="1" customWidth="1"/>
    <col min="4" max="4" width="20.6640625" bestFit="1" customWidth="1"/>
    <col min="5" max="5" width="15.88671875" bestFit="1" customWidth="1"/>
    <col min="6" max="6" width="18.33203125" bestFit="1" customWidth="1"/>
    <col min="7" max="10" width="15.88671875" bestFit="1" customWidth="1"/>
    <col min="11" max="11" width="15.77734375" bestFit="1" customWidth="1"/>
    <col min="12" max="13" width="11.77734375" bestFit="1" customWidth="1"/>
    <col min="14" max="14" width="19.88671875" bestFit="1" customWidth="1"/>
    <col min="15" max="15" width="14" bestFit="1" customWidth="1"/>
    <col min="16" max="16" width="16.77734375" bestFit="1" customWidth="1"/>
    <col min="17" max="17" width="13.33203125" bestFit="1" customWidth="1"/>
    <col min="30" max="30" width="17.6640625" bestFit="1" customWidth="1"/>
    <col min="31" max="31" width="16.77734375" bestFit="1" customWidth="1"/>
    <col min="32" max="32" width="16.21875" bestFit="1" customWidth="1"/>
  </cols>
  <sheetData>
    <row r="1" spans="1:32" ht="15.6" x14ac:dyDescent="0.3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32" x14ac:dyDescent="0.3">
      <c r="A3" s="2" t="s">
        <v>1</v>
      </c>
      <c r="B3" t="s">
        <v>2</v>
      </c>
    </row>
    <row r="4" spans="1:32" x14ac:dyDescent="0.3">
      <c r="A4" s="2" t="s">
        <v>3</v>
      </c>
      <c r="B4" t="s">
        <v>4</v>
      </c>
    </row>
    <row r="5" spans="1:32" x14ac:dyDescent="0.3">
      <c r="A5" s="2" t="s">
        <v>5</v>
      </c>
      <c r="B5" t="s">
        <v>6</v>
      </c>
    </row>
    <row r="6" spans="1:32" x14ac:dyDescent="0.3">
      <c r="A6" s="2" t="s">
        <v>7</v>
      </c>
      <c r="B6" t="s">
        <v>8</v>
      </c>
    </row>
    <row r="7" spans="1:32" x14ac:dyDescent="0.3">
      <c r="A7" s="2" t="s">
        <v>9</v>
      </c>
      <c r="B7" t="s">
        <v>10</v>
      </c>
    </row>
    <row r="9" spans="1:32" x14ac:dyDescent="0.3">
      <c r="A9" s="2" t="s">
        <v>11</v>
      </c>
      <c r="B9" s="2" t="s">
        <v>12</v>
      </c>
    </row>
    <row r="11" spans="1:32" x14ac:dyDescent="0.3">
      <c r="A11" s="14" t="s">
        <v>13</v>
      </c>
      <c r="B11" s="14" t="s">
        <v>14</v>
      </c>
      <c r="C11" s="14" t="s">
        <v>15</v>
      </c>
      <c r="D11" s="14" t="s">
        <v>97</v>
      </c>
      <c r="E11" s="14" t="s">
        <v>16</v>
      </c>
      <c r="F11" s="14" t="s">
        <v>17</v>
      </c>
      <c r="G11" s="14" t="s">
        <v>18</v>
      </c>
      <c r="H11" s="14" t="s">
        <v>19</v>
      </c>
      <c r="I11" s="14" t="s">
        <v>20</v>
      </c>
      <c r="J11" s="14" t="s">
        <v>21</v>
      </c>
      <c r="K11" s="14" t="s">
        <v>22</v>
      </c>
      <c r="L11" s="14" t="s">
        <v>23</v>
      </c>
      <c r="M11" s="14" t="s">
        <v>24</v>
      </c>
      <c r="N11" s="14" t="s">
        <v>25</v>
      </c>
      <c r="O11" s="14" t="s">
        <v>26</v>
      </c>
      <c r="P11" s="14" t="s">
        <v>27</v>
      </c>
      <c r="Q11" s="14" t="s">
        <v>28</v>
      </c>
      <c r="R11" s="14" t="s">
        <v>29</v>
      </c>
      <c r="S11" s="11"/>
      <c r="T11" s="14" t="s">
        <v>32</v>
      </c>
      <c r="U11" s="11"/>
      <c r="V11" s="11"/>
      <c r="W11" s="11"/>
      <c r="X11" s="11"/>
      <c r="Y11" s="11"/>
      <c r="Z11" s="11"/>
      <c r="AA11" s="11"/>
      <c r="AB11" s="11"/>
      <c r="AC11" s="11"/>
      <c r="AD11" s="14" t="s">
        <v>43</v>
      </c>
      <c r="AE11" s="14" t="s">
        <v>44</v>
      </c>
      <c r="AF11" s="14" t="s">
        <v>45</v>
      </c>
    </row>
    <row r="12" spans="1:32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AD12" s="11"/>
      <c r="AE12" s="11"/>
      <c r="AF12" s="11"/>
    </row>
    <row r="13" spans="1:32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2" t="s">
        <v>30</v>
      </c>
      <c r="S13" s="2" t="s">
        <v>31</v>
      </c>
      <c r="T13" s="2" t="s">
        <v>33</v>
      </c>
      <c r="U13" s="2" t="s">
        <v>34</v>
      </c>
      <c r="V13" s="2" t="s">
        <v>35</v>
      </c>
      <c r="W13" s="2" t="s">
        <v>36</v>
      </c>
      <c r="X13" s="2" t="s">
        <v>37</v>
      </c>
      <c r="Y13" s="2" t="s">
        <v>38</v>
      </c>
      <c r="Z13" s="2" t="s">
        <v>39</v>
      </c>
      <c r="AA13" s="2" t="s">
        <v>40</v>
      </c>
      <c r="AB13" s="2" t="s">
        <v>41</v>
      </c>
      <c r="AC13" s="2" t="s">
        <v>42</v>
      </c>
      <c r="AD13" s="11"/>
      <c r="AE13" s="11"/>
      <c r="AF13" s="11"/>
    </row>
    <row r="14" spans="1:32" x14ac:dyDescent="0.3">
      <c r="A14" t="s">
        <v>46</v>
      </c>
      <c r="B14" t="s">
        <v>47</v>
      </c>
      <c r="C14" t="s">
        <v>98</v>
      </c>
      <c r="D14" t="s">
        <v>99</v>
      </c>
      <c r="E14" t="s">
        <v>100</v>
      </c>
      <c r="F14" t="s">
        <v>47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84</v>
      </c>
      <c r="M14" t="s">
        <v>50</v>
      </c>
      <c r="N14" t="s">
        <v>106</v>
      </c>
      <c r="O14" t="s">
        <v>52</v>
      </c>
      <c r="P14" t="s">
        <v>61</v>
      </c>
      <c r="Q14" t="s">
        <v>61</v>
      </c>
      <c r="R14" t="s">
        <v>91</v>
      </c>
      <c r="S14" t="s">
        <v>57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107</v>
      </c>
      <c r="AE14" t="s">
        <v>47</v>
      </c>
      <c r="AF14" t="s">
        <v>47</v>
      </c>
    </row>
    <row r="15" spans="1:32" x14ac:dyDescent="0.3">
      <c r="A15" t="s">
        <v>53</v>
      </c>
      <c r="B15" t="s">
        <v>47</v>
      </c>
      <c r="C15" t="s">
        <v>108</v>
      </c>
      <c r="D15" t="s">
        <v>109</v>
      </c>
      <c r="E15" t="s">
        <v>110</v>
      </c>
      <c r="F15" t="s">
        <v>47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84</v>
      </c>
      <c r="M15" t="s">
        <v>50</v>
      </c>
      <c r="N15" t="s">
        <v>51</v>
      </c>
      <c r="O15" t="s">
        <v>55</v>
      </c>
      <c r="P15" t="s">
        <v>62</v>
      </c>
      <c r="Q15" t="s">
        <v>56</v>
      </c>
      <c r="R15" t="s">
        <v>116</v>
      </c>
      <c r="S15" t="s">
        <v>117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118</v>
      </c>
      <c r="AE15" t="s">
        <v>118</v>
      </c>
      <c r="AF15" t="s">
        <v>47</v>
      </c>
    </row>
  </sheetData>
  <mergeCells count="23">
    <mergeCell ref="AF11:AF13"/>
    <mergeCell ref="Q11:Q13"/>
    <mergeCell ref="R11:S11"/>
    <mergeCell ref="T11:AC11"/>
    <mergeCell ref="AD11:AD13"/>
    <mergeCell ref="AE11:AE13"/>
    <mergeCell ref="L11:L13"/>
    <mergeCell ref="M11:M13"/>
    <mergeCell ref="N11:N13"/>
    <mergeCell ref="O11:O13"/>
    <mergeCell ref="P11:P13"/>
    <mergeCell ref="A1:K1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0"/>
  <sheetViews>
    <sheetView topLeftCell="D1" workbookViewId="0">
      <selection activeCell="H11" sqref="H11"/>
    </sheetView>
  </sheetViews>
  <sheetFormatPr defaultRowHeight="14.4" x14ac:dyDescent="0.3"/>
  <sheetData>
    <row r="2" spans="2:8" x14ac:dyDescent="0.3">
      <c r="B2" s="15" t="s">
        <v>96</v>
      </c>
      <c r="C2" s="11"/>
      <c r="D2" s="11"/>
      <c r="E2" s="11"/>
      <c r="F2" s="11"/>
    </row>
    <row r="6" spans="2:8" x14ac:dyDescent="0.3">
      <c r="G6">
        <v>1000</v>
      </c>
      <c r="H6">
        <v>62.05</v>
      </c>
    </row>
    <row r="7" spans="2:8" x14ac:dyDescent="0.3">
      <c r="G7">
        <v>944.36</v>
      </c>
      <c r="H7">
        <v>62.02</v>
      </c>
    </row>
    <row r="8" spans="2:8" x14ac:dyDescent="0.3">
      <c r="G8">
        <v>1000</v>
      </c>
      <c r="H8">
        <v>62.11</v>
      </c>
    </row>
    <row r="9" spans="2:8" x14ac:dyDescent="0.3">
      <c r="G9">
        <v>1000</v>
      </c>
      <c r="H9">
        <v>61.86</v>
      </c>
    </row>
    <row r="10" spans="2:8" x14ac:dyDescent="0.3">
      <c r="G10">
        <f>SUM(G6:G9)</f>
        <v>3944.36</v>
      </c>
      <c r="H10">
        <f>SUMPRODUCT(G6:G9,H6:H9)/G10</f>
        <v>62.00985893782515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Analysis</vt:lpstr>
      <vt:lpstr>Retest</vt:lpstr>
      <vt:lpstr>Replicate</vt:lpstr>
      <vt:lpstr>Retain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Omkar Narayan</cp:lastModifiedBy>
  <dcterms:created xsi:type="dcterms:W3CDTF">2025-08-26T10:40:02Z</dcterms:created>
  <dcterms:modified xsi:type="dcterms:W3CDTF">2025-10-31T06:14:32Z</dcterms:modified>
</cp:coreProperties>
</file>